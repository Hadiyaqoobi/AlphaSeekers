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ublic Pages" sheetId="2" state="visible" r:id="rId2"/>
    <sheet name="Student Tests" sheetId="3" state="visible" r:id="rId3"/>
    <sheet name="Teacher Tests" sheetId="4" state="visible" r:id="rId4"/>
    <sheet name="Admin Tests" sheetId="5" state="visible" r:id="rId5"/>
    <sheet name="Security Tests" sheetId="6" state="visible" r:id="rId6"/>
    <sheet name="Visual Tests" sheetId="7" state="visible" r:id="rId7"/>
    <sheet name="Summary" sheetId="8" state="visible" r:id="rId8"/>
  </sheets>
  <definedNames>
    <definedName name="_xlnm._FilterDatabase" localSheetId="1" hidden="1">'Public Pages'!$A$1:$I$28</definedName>
    <definedName name="_xlnm._FilterDatabase" localSheetId="2" hidden="1">'Student Tests'!$A$2:$I$43</definedName>
    <definedName name="_xlnm._FilterDatabase" localSheetId="3" hidden="1">'Teacher Tests'!$A$2:$I$16</definedName>
    <definedName name="_xlnm._FilterDatabase" localSheetId="4" hidden="1">'Admin Tests'!$A$2:$I$26</definedName>
    <definedName name="_xlnm._FilterDatabase" localSheetId="5" hidden="1">'Security Tests'!$A$1:$I$14</definedName>
    <definedName name="_xlnm._FilterDatabase" localSheetId="6" hidden="1">'Visual Tests'!$A$1:$I$17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1B3A5C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i val="1"/>
      <color rgb="00777777"/>
      <sz val="9"/>
    </font>
  </fonts>
  <fills count="6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2F8FC"/>
        <bgColor rgb="00F2F8FC"/>
      </patternFill>
    </fill>
    <fill>
      <patternFill patternType="solid">
        <fgColor rgb="00FFF2CC"/>
        <bgColor rgb="00FFF2CC"/>
      </patternFill>
    </fill>
    <fill>
      <patternFill patternType="solid">
        <fgColor rgb="00E1E8ED"/>
        <bgColor rgb="00E1E8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dxfs count="6">
    <dxf>
      <font>
        <name val="Arial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9C6500"/>
        <sz val="10"/>
      </font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50" customHeight="1">
      <c r="A1" s="1" t="inlineStr">
        <is>
          <t>AlphaSeekers — Platform Testing Checklist</t>
        </is>
      </c>
    </row>
    <row r="2" ht="22" customHeight="1">
      <c r="A2" s="2" t="inlineStr"/>
      <c r="B2" s="3" t="inlineStr"/>
    </row>
    <row r="3" ht="22" customHeight="1">
      <c r="A3" s="2" t="inlineStr">
        <is>
          <t>How to use this spreadsheet:</t>
        </is>
      </c>
      <c r="B3" s="3" t="inlineStr"/>
    </row>
    <row r="4" ht="22" customHeight="1">
      <c r="A4" s="4" t="inlineStr">
        <is>
          <t>Step 1</t>
        </is>
      </c>
      <c r="B4" s="3" t="inlineStr">
        <is>
          <t>Open each tab in order: Public Pages → Student Tests → Teacher Tests → Admin Tests → Security Tests → Visual Tests</t>
        </is>
      </c>
    </row>
    <row r="5" ht="22" customHeight="1">
      <c r="A5" s="4" t="inlineStr">
        <is>
          <t>Step 2</t>
        </is>
      </c>
      <c r="B5" s="3" t="inlineStr">
        <is>
          <t>For each test row, follow the steps in the 'Steps' column on the live site</t>
        </is>
      </c>
    </row>
    <row r="6" ht="22" customHeight="1">
      <c r="A6" s="4" t="inlineStr">
        <is>
          <t>Step 3</t>
        </is>
      </c>
      <c r="B6" s="3" t="inlineStr">
        <is>
          <t>Mark Pass / Fail / Blocked / Skipped in the 'Result' column (use the dropdown)</t>
        </is>
      </c>
    </row>
    <row r="7" ht="22" customHeight="1">
      <c r="A7" s="4" t="inlineStr">
        <is>
          <t>Step 4</t>
        </is>
      </c>
      <c r="B7" s="3" t="inlineStr">
        <is>
          <t>If failed, write what went wrong in the 'Comments' column</t>
        </is>
      </c>
    </row>
    <row r="8" ht="22" customHeight="1">
      <c r="A8" s="4" t="inlineStr">
        <is>
          <t>Step 5</t>
        </is>
      </c>
      <c r="B8" s="3" t="inlineStr">
        <is>
          <t>Put your name in 'Tested by' and today's date in 'Date'</t>
        </is>
      </c>
    </row>
    <row r="9" ht="22" customHeight="1">
      <c r="A9" s="4" t="inlineStr">
        <is>
          <t>Step 6</t>
        </is>
      </c>
      <c r="B9" s="3" t="inlineStr">
        <is>
          <t>When done with all tabs, check the Summary tab — it auto-calculates pass rate</t>
        </is>
      </c>
    </row>
    <row r="10" ht="22" customHeight="1">
      <c r="A10" s="2" t="inlineStr"/>
      <c r="B10" s="3" t="inlineStr"/>
    </row>
    <row r="11" ht="22" customHeight="1">
      <c r="A11" s="2" t="inlineStr">
        <is>
          <t>Result options:</t>
        </is>
      </c>
      <c r="B11" s="3" t="inlineStr"/>
    </row>
    <row r="12" ht="22" customHeight="1">
      <c r="A12" s="4" t="inlineStr">
        <is>
          <t>Pass</t>
        </is>
      </c>
      <c r="B12" s="3" t="inlineStr">
        <is>
          <t>Test worked exactly as the Expected Result said</t>
        </is>
      </c>
    </row>
    <row r="13" ht="22" customHeight="1">
      <c r="A13" s="4" t="inlineStr">
        <is>
          <t>Fail</t>
        </is>
      </c>
      <c r="B13" s="3" t="inlineStr">
        <is>
          <t>Something didn't work — describe in Comments</t>
        </is>
      </c>
    </row>
    <row r="14" ht="22" customHeight="1">
      <c r="A14" s="4" t="inlineStr">
        <is>
          <t>Blocked</t>
        </is>
      </c>
      <c r="B14" s="3" t="inlineStr">
        <is>
          <t>Couldn't run the test (e.g. no test data, dependency broken)</t>
        </is>
      </c>
    </row>
    <row r="15" ht="22" customHeight="1">
      <c r="A15" s="4" t="inlineStr">
        <is>
          <t>Skipped</t>
        </is>
      </c>
      <c r="B15" s="3" t="inlineStr">
        <is>
          <t>Intentionally skipped (e.g. requires admin you don't have)</t>
        </is>
      </c>
    </row>
    <row r="16" ht="22" customHeight="1">
      <c r="A16" s="2" t="inlineStr"/>
      <c r="B16" s="3" t="inlineStr"/>
    </row>
    <row r="17" ht="22" customHeight="1">
      <c r="A17" s="2" t="inlineStr">
        <is>
          <t>Setup info:</t>
        </is>
      </c>
      <c r="B17" s="3" t="inlineStr"/>
    </row>
    <row r="18" ht="22" customHeight="1">
      <c r="A18" s="4" t="inlineStr">
        <is>
          <t>Platform URL</t>
        </is>
      </c>
      <c r="B18" s="3" t="inlineStr">
        <is>
          <t>https://alphaseekers.onrender.com</t>
        </is>
      </c>
    </row>
    <row r="19" ht="22" customHeight="1">
      <c r="A19" s="4" t="inlineStr">
        <is>
          <t>Test round</t>
        </is>
      </c>
      <c r="B19" s="3" t="inlineStr">
        <is>
          <t>1 (fill in)</t>
        </is>
      </c>
    </row>
    <row r="20" ht="22" customHeight="1">
      <c r="A20" s="4" t="inlineStr">
        <is>
          <t>Date started</t>
        </is>
      </c>
      <c r="B20" s="3" t="inlineStr">
        <is>
          <t>2026-04-16</t>
        </is>
      </c>
    </row>
    <row r="21" ht="22" customHeight="1">
      <c r="A21" s="2" t="inlineStr"/>
      <c r="B21" s="3" t="inlineStr"/>
    </row>
    <row r="22" ht="22" customHeight="1">
      <c r="A22" s="2" t="inlineStr">
        <is>
          <t>Tips:</t>
        </is>
      </c>
      <c r="B22" s="3" t="inlineStr"/>
    </row>
    <row r="23" ht="22" customHeight="1">
      <c r="A23" s="4" t="inlineStr">
        <is>
          <t>Tip 1</t>
        </is>
      </c>
      <c r="B23" s="3" t="inlineStr">
        <is>
          <t>Use Chrome/Safari/Firefox latest version</t>
        </is>
      </c>
    </row>
    <row r="24" ht="22" customHeight="1">
      <c r="A24" s="4" t="inlineStr">
        <is>
          <t>Tip 2</t>
        </is>
      </c>
      <c r="B24" s="3" t="inlineStr">
        <is>
          <t>Test on both desktop and mobile if you can</t>
        </is>
      </c>
    </row>
    <row r="25" ht="22" customHeight="1">
      <c r="A25" s="4" t="inlineStr">
        <is>
          <t>Tip 3</t>
        </is>
      </c>
      <c r="B25" s="3" t="inlineStr">
        <is>
          <t>Open browser dev tools (F12 / right-click Inspect) to spot console errors</t>
        </is>
      </c>
    </row>
    <row r="26" ht="22" customHeight="1">
      <c r="A26" s="4" t="inlineStr">
        <is>
          <t>Tip 4</t>
        </is>
      </c>
      <c r="B26" s="3" t="inlineStr">
        <is>
          <t>If a page is slow on first load, wait up to 60 seconds — server is on free tier and may need to wake up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50" customWidth="1" min="4" max="4"/>
    <col width="38" customWidth="1" min="5" max="5"/>
    <col width="12" customWidth="1" min="6" max="6"/>
    <col width="16" customWidth="1" min="7" max="7"/>
    <col width="14" customWidth="1" min="8" max="8"/>
    <col width="38" customWidth="1" min="9" max="9"/>
  </cols>
  <sheetData>
    <row r="1" ht="32" customHeight="1">
      <c r="A1" s="5" t="inlineStr">
        <is>
          <t>ID</t>
        </is>
      </c>
      <c r="B1" s="5" t="inlineStr">
        <is>
          <t>Category</t>
        </is>
      </c>
      <c r="C1" s="5" t="inlineStr">
        <is>
          <t>Test scenario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Result</t>
        </is>
      </c>
      <c r="G1" s="5" t="inlineStr">
        <is>
          <t>Tested by</t>
        </is>
      </c>
      <c r="H1" s="5" t="inlineStr">
        <is>
          <t>Date</t>
        </is>
      </c>
      <c r="I1" s="5" t="inlineStr">
        <is>
          <t>Comments</t>
        </is>
      </c>
    </row>
    <row r="2" ht="60" customHeight="1">
      <c r="A2" s="6" t="inlineStr">
        <is>
          <t>PUBLIC-001</t>
        </is>
      </c>
      <c r="B2" s="6" t="inlineStr">
        <is>
          <t>Landing</t>
        </is>
      </c>
      <c r="C2" s="6" t="inlineStr">
        <is>
          <t>Landing page loads</t>
        </is>
      </c>
      <c r="D2" s="6" t="inlineStr">
        <is>
          <t>1. Open https://alphaseekers.onrender.com</t>
        </is>
      </c>
      <c r="E2" s="6" t="inlineStr">
        <is>
          <t>Page loads with hero, features, navigation bar, and CTA buttons</t>
        </is>
      </c>
      <c r="F2" s="6" t="inlineStr"/>
      <c r="G2" s="6" t="inlineStr"/>
      <c r="H2" s="6" t="inlineStr"/>
      <c r="I2" s="6" t="inlineStr"/>
    </row>
    <row r="3" ht="60" customHeight="1">
      <c r="A3" s="7" t="inlineStr">
        <is>
          <t>PUBLIC-002</t>
        </is>
      </c>
      <c r="B3" s="7" t="inlineStr">
        <is>
          <t>Landing</t>
        </is>
      </c>
      <c r="C3" s="7" t="inlineStr">
        <is>
          <t>Navigation links work</t>
        </is>
      </c>
      <c r="D3" s="7" t="inlineStr">
        <is>
          <t>1. From the landing page, click each top-nav link (Home, Webinars, Library, Opportunities, Team, Programs, How it works)</t>
        </is>
      </c>
      <c r="E3" s="7" t="inlineStr">
        <is>
          <t>Each link goes to the correct page with no error</t>
        </is>
      </c>
      <c r="F3" s="7" t="inlineStr"/>
      <c r="G3" s="7" t="inlineStr"/>
      <c r="H3" s="7" t="inlineStr"/>
      <c r="I3" s="7" t="inlineStr"/>
    </row>
    <row r="4" ht="60" customHeight="1">
      <c r="A4" s="6" t="inlineStr">
        <is>
          <t>PUBLIC-003</t>
        </is>
      </c>
      <c r="B4" s="6" t="inlineStr">
        <is>
          <t>Landing</t>
        </is>
      </c>
      <c r="C4" s="6" t="inlineStr">
        <is>
          <t>Dari toggle works on landing</t>
        </is>
      </c>
      <c r="D4" s="6" t="inlineStr">
        <is>
          <t>1. Click the 'دری' button at the top-right</t>
        </is>
      </c>
      <c r="E4" s="6" t="inlineStr">
        <is>
          <t>Page switches to Dari with right-to-left layout; URL becomes /fa/</t>
        </is>
      </c>
      <c r="F4" s="6" t="inlineStr"/>
      <c r="G4" s="6" t="inlineStr"/>
      <c r="H4" s="6" t="inlineStr"/>
      <c r="I4" s="6" t="inlineStr"/>
    </row>
    <row r="5" ht="60" customHeight="1">
      <c r="A5" s="7" t="inlineStr">
        <is>
          <t>PUBLIC-004</t>
        </is>
      </c>
      <c r="B5" s="7" t="inlineStr">
        <is>
          <t>Landing</t>
        </is>
      </c>
      <c r="C5" s="7" t="inlineStr">
        <is>
          <t>Feature tabs are interactive</t>
        </is>
      </c>
      <c r="D5" s="7" t="inlineStr">
        <is>
          <t>1. Scroll down to the features section
2. Click each tab (English A2, Photosynthesis, Scholarship, etc.)</t>
        </is>
      </c>
      <c r="E5" s="7" t="inlineStr">
        <is>
          <t>Each tab swaps in a different mockup preview</t>
        </is>
      </c>
      <c r="F5" s="7" t="inlineStr"/>
      <c r="G5" s="7" t="inlineStr"/>
      <c r="H5" s="7" t="inlineStr"/>
      <c r="I5" s="7" t="inlineStr"/>
    </row>
    <row r="6" ht="60" customHeight="1">
      <c r="A6" s="6" t="inlineStr">
        <is>
          <t>PUBLIC-005</t>
        </is>
      </c>
      <c r="B6" s="6" t="inlineStr">
        <is>
          <t>Landing</t>
        </is>
      </c>
      <c r="C6" s="6" t="inlineStr">
        <is>
          <t>Hero animation plays</t>
        </is>
      </c>
      <c r="D6" s="6" t="inlineStr">
        <is>
          <t>1. Watch the right-side mockup for ~10 seconds</t>
        </is>
      </c>
      <c r="E6" s="6" t="inlineStr">
        <is>
          <t>The animated platform mockup cycles through stages (My Classes → Enroll → WhatsApp reminder)</t>
        </is>
      </c>
      <c r="F6" s="6" t="inlineStr"/>
      <c r="G6" s="6" t="inlineStr"/>
      <c r="H6" s="6" t="inlineStr"/>
      <c r="I6" s="6" t="inlineStr"/>
    </row>
    <row r="7" ht="60" customHeight="1">
      <c r="A7" s="7" t="inlineStr">
        <is>
          <t>PUBLIC-006</t>
        </is>
      </c>
      <c r="B7" s="7" t="inlineStr">
        <is>
          <t>Landing</t>
        </is>
      </c>
      <c r="C7" s="7" t="inlineStr">
        <is>
          <t>Mobile responsive landing</t>
        </is>
      </c>
      <c r="D7" s="7" t="inlineStr">
        <is>
          <t>1. Open the homepage on a phone or resize browser to 375px width</t>
        </is>
      </c>
      <c r="E7" s="7" t="inlineStr">
        <is>
          <t>Page looks clean, no horizontal scroll, navigation collapses to hamburger</t>
        </is>
      </c>
      <c r="F7" s="7" t="inlineStr"/>
      <c r="G7" s="7" t="inlineStr"/>
      <c r="H7" s="7" t="inlineStr"/>
      <c r="I7" s="7" t="inlineStr"/>
    </row>
    <row r="8" ht="60" customHeight="1">
      <c r="A8" s="6" t="inlineStr">
        <is>
          <t>PUBLIC-007</t>
        </is>
      </c>
      <c r="B8" s="6" t="inlineStr">
        <is>
          <t>Registration</t>
        </is>
      </c>
      <c r="C8" s="6" t="inlineStr">
        <is>
          <t>Registration page loads</t>
        </is>
      </c>
      <c r="D8" s="6" t="inlineStr">
        <is>
          <t>1. Click 'Request access' / go to /register</t>
        </is>
      </c>
      <c r="E8" s="6" t="inlineStr">
        <is>
          <t>Form appears with name, email, password, role (Student/Teacher) fields</t>
        </is>
      </c>
      <c r="F8" s="6" t="inlineStr"/>
      <c r="G8" s="6" t="inlineStr"/>
      <c r="H8" s="6" t="inlineStr"/>
      <c r="I8" s="6" t="inlineStr"/>
    </row>
    <row r="9" ht="60" customHeight="1">
      <c r="A9" s="7" t="inlineStr">
        <is>
          <t>PUBLIC-008</t>
        </is>
      </c>
      <c r="B9" s="7" t="inlineStr">
        <is>
          <t>Registration</t>
        </is>
      </c>
      <c r="C9" s="7" t="inlineStr">
        <is>
          <t>Register a new test student</t>
        </is>
      </c>
      <c r="D9" s="7" t="inlineStr">
        <is>
          <t>1. Fill: name='Test Student', email='test_&lt;your initials&gt;@test.com', password='Test1234', role=Student
2. Click Sign up</t>
        </is>
      </c>
      <c r="E9" s="7" t="inlineStr">
        <is>
          <t>Success message appears; redirected to pending approval page</t>
        </is>
      </c>
      <c r="F9" s="7" t="inlineStr"/>
      <c r="G9" s="7" t="inlineStr"/>
      <c r="H9" s="7" t="inlineStr"/>
      <c r="I9" s="7" t="inlineStr"/>
    </row>
    <row r="10" ht="60" customHeight="1">
      <c r="A10" s="6" t="inlineStr">
        <is>
          <t>PUBLIC-009</t>
        </is>
      </c>
      <c r="B10" s="6" t="inlineStr">
        <is>
          <t>Registration</t>
        </is>
      </c>
      <c r="C10" s="6" t="inlineStr">
        <is>
          <t>Register with empty fields</t>
        </is>
      </c>
      <c r="D10" s="6" t="inlineStr">
        <is>
          <t>1. Leave all fields empty
2. Click Sign up</t>
        </is>
      </c>
      <c r="E10" s="6" t="inlineStr">
        <is>
          <t>Validation errors show; form does NOT submit</t>
        </is>
      </c>
      <c r="F10" s="6" t="inlineStr"/>
      <c r="G10" s="6" t="inlineStr"/>
      <c r="H10" s="6" t="inlineStr"/>
      <c r="I10" s="6" t="inlineStr"/>
    </row>
    <row r="11" ht="60" customHeight="1">
      <c r="A11" s="7" t="inlineStr">
        <is>
          <t>PUBLIC-010</t>
        </is>
      </c>
      <c r="B11" s="7" t="inlineStr">
        <is>
          <t>Registration</t>
        </is>
      </c>
      <c r="C11" s="7" t="inlineStr">
        <is>
          <t>Register with short password</t>
        </is>
      </c>
      <c r="D11" s="7" t="inlineStr">
        <is>
          <t>1. Fill name+email but use password='abc' (3 chars)
2. Click Sign up</t>
        </is>
      </c>
      <c r="E11" s="7" t="inlineStr">
        <is>
          <t>Error: password must be at least 6 characters</t>
        </is>
      </c>
      <c r="F11" s="7" t="inlineStr"/>
      <c r="G11" s="7" t="inlineStr"/>
      <c r="H11" s="7" t="inlineStr"/>
      <c r="I11" s="7" t="inlineStr"/>
    </row>
    <row r="12" ht="60" customHeight="1">
      <c r="A12" s="6" t="inlineStr">
        <is>
          <t>PUBLIC-011</t>
        </is>
      </c>
      <c r="B12" s="6" t="inlineStr">
        <is>
          <t>Registration</t>
        </is>
      </c>
      <c r="C12" s="6" t="inlineStr">
        <is>
          <t>Register with invalid email</t>
        </is>
      </c>
      <c r="D12" s="6" t="inlineStr">
        <is>
          <t>1. Use email='notanemail'
2. Click Sign up</t>
        </is>
      </c>
      <c r="E12" s="6" t="inlineStr">
        <is>
          <t>Error: invalid email format</t>
        </is>
      </c>
      <c r="F12" s="6" t="inlineStr"/>
      <c r="G12" s="6" t="inlineStr"/>
      <c r="H12" s="6" t="inlineStr"/>
      <c r="I12" s="6" t="inlineStr"/>
    </row>
    <row r="13" ht="60" customHeight="1">
      <c r="A13" s="7" t="inlineStr">
        <is>
          <t>PUBLIC-012</t>
        </is>
      </c>
      <c r="B13" s="7" t="inlineStr">
        <is>
          <t>Registration</t>
        </is>
      </c>
      <c r="C13" s="7" t="inlineStr">
        <is>
          <t>Register with already-used email</t>
        </is>
      </c>
      <c r="D13" s="7" t="inlineStr">
        <is>
          <t>1. Use an email that already has an account
2. Click Sign up</t>
        </is>
      </c>
      <c r="E13" s="7" t="inlineStr">
        <is>
          <t>Error: email already registered (409)</t>
        </is>
      </c>
      <c r="F13" s="7" t="inlineStr"/>
      <c r="G13" s="7" t="inlineStr"/>
      <c r="H13" s="7" t="inlineStr"/>
      <c r="I13" s="7" t="inlineStr"/>
    </row>
    <row r="14" ht="60" customHeight="1">
      <c r="A14" s="6" t="inlineStr">
        <is>
          <t>PUBLIC-013</t>
        </is>
      </c>
      <c r="B14" s="6" t="inlineStr">
        <is>
          <t>Login</t>
        </is>
      </c>
      <c r="C14" s="6" t="inlineStr">
        <is>
          <t>Login page loads</t>
        </is>
      </c>
      <c r="D14" s="6" t="inlineStr">
        <is>
          <t>1. Go to /login</t>
        </is>
      </c>
      <c r="E14" s="6" t="inlineStr">
        <is>
          <t>Form with email and password fields, with rotating quotes on the side</t>
        </is>
      </c>
      <c r="F14" s="6" t="inlineStr"/>
      <c r="G14" s="6" t="inlineStr"/>
      <c r="H14" s="6" t="inlineStr"/>
      <c r="I14" s="6" t="inlineStr"/>
    </row>
    <row r="15" ht="60" customHeight="1">
      <c r="A15" s="7" t="inlineStr">
        <is>
          <t>PUBLIC-014</t>
        </is>
      </c>
      <c r="B15" s="7" t="inlineStr">
        <is>
          <t>Login</t>
        </is>
      </c>
      <c r="C15" s="7" t="inlineStr">
        <is>
          <t>Login with wrong password</t>
        </is>
      </c>
      <c r="D15" s="7" t="inlineStr">
        <is>
          <t>1. Enter a valid email and 'wrongpassword'
2. Click Sign in</t>
        </is>
      </c>
      <c r="E15" s="7" t="inlineStr">
        <is>
          <t>Error: 'Invalid email or password'</t>
        </is>
      </c>
      <c r="F15" s="7" t="inlineStr"/>
      <c r="G15" s="7" t="inlineStr"/>
      <c r="H15" s="7" t="inlineStr"/>
      <c r="I15" s="7" t="inlineStr"/>
    </row>
    <row r="16" ht="60" customHeight="1">
      <c r="A16" s="6" t="inlineStr">
        <is>
          <t>PUBLIC-015</t>
        </is>
      </c>
      <c r="B16" s="6" t="inlineStr">
        <is>
          <t>Login</t>
        </is>
      </c>
      <c r="C16" s="6" t="inlineStr">
        <is>
          <t>Login with non-existent email</t>
        </is>
      </c>
      <c r="D16" s="6" t="inlineStr">
        <is>
          <t>1. Enter 'doesnotexist@test.com' and any password
2. Click Sign in</t>
        </is>
      </c>
      <c r="E16" s="6" t="inlineStr">
        <is>
          <t>Error: 'Invalid email or password' (same generic message — by design)</t>
        </is>
      </c>
      <c r="F16" s="6" t="inlineStr"/>
      <c r="G16" s="6" t="inlineStr"/>
      <c r="H16" s="6" t="inlineStr"/>
      <c r="I16" s="6" t="inlineStr"/>
    </row>
    <row r="17" ht="60" customHeight="1">
      <c r="A17" s="7" t="inlineStr">
        <is>
          <t>PUBLIC-016</t>
        </is>
      </c>
      <c r="B17" s="7" t="inlineStr">
        <is>
          <t>Login</t>
        </is>
      </c>
      <c r="C17" s="7" t="inlineStr">
        <is>
          <t>Login form keyboard navigation</t>
        </is>
      </c>
      <c r="D17" s="7" t="inlineStr">
        <is>
          <t>1. Use Tab key to move between fields, Enter to submit</t>
        </is>
      </c>
      <c r="E17" s="7" t="inlineStr">
        <is>
          <t>Focus moves correctly; Enter submits the form</t>
        </is>
      </c>
      <c r="F17" s="7" t="inlineStr"/>
      <c r="G17" s="7" t="inlineStr"/>
      <c r="H17" s="7" t="inlineStr"/>
      <c r="I17" s="7" t="inlineStr"/>
    </row>
    <row r="18" ht="60" customHeight="1">
      <c r="A18" s="6" t="inlineStr">
        <is>
          <t>PUBLIC-017</t>
        </is>
      </c>
      <c r="B18" s="6" t="inlineStr">
        <is>
          <t>Pending</t>
        </is>
      </c>
      <c r="C18" s="6" t="inlineStr">
        <is>
          <t>Pending approval page</t>
        </is>
      </c>
      <c r="D18" s="6" t="inlineStr">
        <is>
          <t>1. Register a new account
2. Try to navigate to /dashboard before being approved</t>
        </is>
      </c>
      <c r="E18" s="6" t="inlineStr">
        <is>
          <t>Redirected to /pending-approval with explanation</t>
        </is>
      </c>
      <c r="F18" s="6" t="inlineStr"/>
      <c r="G18" s="6" t="inlineStr"/>
      <c r="H18" s="6" t="inlineStr"/>
      <c r="I18" s="6" t="inlineStr"/>
    </row>
    <row r="19" ht="60" customHeight="1">
      <c r="A19" s="7" t="inlineStr">
        <is>
          <t>PUBLIC-018</t>
        </is>
      </c>
      <c r="B19" s="7" t="inlineStr">
        <is>
          <t>Stories</t>
        </is>
      </c>
      <c r="C19" s="7" t="inlineStr">
        <is>
          <t>Stories page loads (public)</t>
        </is>
      </c>
      <c r="D19" s="7" t="inlineStr">
        <is>
          <t>1. Go to /stories without logging in</t>
        </is>
      </c>
      <c r="E19" s="7" t="inlineStr">
        <is>
          <t>List of published stories appears (or 'no stories yet' empty state)</t>
        </is>
      </c>
      <c r="F19" s="7" t="inlineStr"/>
      <c r="G19" s="7" t="inlineStr"/>
      <c r="H19" s="7" t="inlineStr"/>
      <c r="I19" s="7" t="inlineStr"/>
    </row>
    <row r="20" ht="60" customHeight="1">
      <c r="A20" s="6" t="inlineStr">
        <is>
          <t>PUBLIC-019</t>
        </is>
      </c>
      <c r="B20" s="6" t="inlineStr">
        <is>
          <t>Stories</t>
        </is>
      </c>
      <c r="C20" s="6" t="inlineStr">
        <is>
          <t>Single story page</t>
        </is>
      </c>
      <c r="D20" s="6" t="inlineStr">
        <is>
          <t>1. From /stories, click any story
2. Read the story</t>
        </is>
      </c>
      <c r="E20" s="6" t="inlineStr">
        <is>
          <t>Story page loads with title, content, author, read time</t>
        </is>
      </c>
      <c r="F20" s="6" t="inlineStr"/>
      <c r="G20" s="6" t="inlineStr"/>
      <c r="H20" s="6" t="inlineStr"/>
      <c r="I20" s="6" t="inlineStr"/>
    </row>
    <row r="21" ht="60" customHeight="1">
      <c r="A21" s="7" t="inlineStr">
        <is>
          <t>PUBLIC-020</t>
        </is>
      </c>
      <c r="B21" s="7" t="inlineStr">
        <is>
          <t>Team</t>
        </is>
      </c>
      <c r="C21" s="7" t="inlineStr">
        <is>
          <t>Team page loads</t>
        </is>
      </c>
      <c r="D21" s="7" t="inlineStr">
        <is>
          <t>1. Go to /team</t>
        </is>
      </c>
      <c r="E21" s="7" t="inlineStr">
        <is>
          <t>Team members displayed with photos, names, and role descriptions</t>
        </is>
      </c>
      <c r="F21" s="7" t="inlineStr"/>
      <c r="G21" s="7" t="inlineStr"/>
      <c r="H21" s="7" t="inlineStr"/>
      <c r="I21" s="7" t="inlineStr"/>
    </row>
    <row r="22" ht="60" customHeight="1">
      <c r="A22" s="6" t="inlineStr">
        <is>
          <t>PUBLIC-021</t>
        </is>
      </c>
      <c r="B22" s="6" t="inlineStr">
        <is>
          <t>Public APIs</t>
        </is>
      </c>
      <c r="C22" s="6" t="inlineStr">
        <is>
          <t>Health endpoint</t>
        </is>
      </c>
      <c r="D22" s="6" t="inlineStr">
        <is>
          <t>1. Open https://alphaseekers.onrender.com/api/health</t>
        </is>
      </c>
      <c r="E22" s="6" t="inlineStr">
        <is>
          <t>Returns JSON: {ok:true, service:..., timestamp:...}</t>
        </is>
      </c>
      <c r="F22" s="6" t="inlineStr"/>
      <c r="G22" s="6" t="inlineStr"/>
      <c r="H22" s="6" t="inlineStr"/>
      <c r="I22" s="6" t="inlineStr"/>
    </row>
    <row r="23" ht="60" customHeight="1">
      <c r="A23" s="7" t="inlineStr">
        <is>
          <t>PUBLIC-022</t>
        </is>
      </c>
      <c r="B23" s="7" t="inlineStr">
        <is>
          <t>Public APIs</t>
        </is>
      </c>
      <c r="C23" s="7" t="inlineStr">
        <is>
          <t>Featured posts endpoint</t>
        </is>
      </c>
      <c r="D23" s="7" t="inlineStr">
        <is>
          <t>1. Open https://alphaseekers.onrender.com/api/posts/featured</t>
        </is>
      </c>
      <c r="E23" s="7" t="inlineStr">
        <is>
          <t>Returns JSON with up to 2 featured posts (or empty array)</t>
        </is>
      </c>
      <c r="F23" s="7" t="inlineStr"/>
      <c r="G23" s="7" t="inlineStr"/>
      <c r="H23" s="7" t="inlineStr"/>
      <c r="I23" s="7" t="inlineStr"/>
    </row>
    <row r="24" ht="60" customHeight="1">
      <c r="A24" s="6" t="inlineStr">
        <is>
          <t>PUBLIC-023</t>
        </is>
      </c>
      <c r="B24" s="6" t="inlineStr">
        <is>
          <t>Dari</t>
        </is>
      </c>
      <c r="C24" s="6" t="inlineStr">
        <is>
          <t>Dari login page</t>
        </is>
      </c>
      <c r="D24" s="6" t="inlineStr">
        <is>
          <t>1. Go to /fa/login</t>
        </is>
      </c>
      <c r="E24" s="6" t="inlineStr">
        <is>
          <t>Login page in Dari with right-to-left layout</t>
        </is>
      </c>
      <c r="F24" s="6" t="inlineStr"/>
      <c r="G24" s="6" t="inlineStr"/>
      <c r="H24" s="6" t="inlineStr"/>
      <c r="I24" s="6" t="inlineStr"/>
    </row>
    <row r="25" ht="60" customHeight="1">
      <c r="A25" s="7" t="inlineStr">
        <is>
          <t>PUBLIC-024</t>
        </is>
      </c>
      <c r="B25" s="7" t="inlineStr">
        <is>
          <t>Dari</t>
        </is>
      </c>
      <c r="C25" s="7" t="inlineStr">
        <is>
          <t>Dari registration</t>
        </is>
      </c>
      <c r="D25" s="7" t="inlineStr">
        <is>
          <t>1. Go to /fa/register</t>
        </is>
      </c>
      <c r="E25" s="7" t="inlineStr">
        <is>
          <t>Registration form in Dari with RTL layout</t>
        </is>
      </c>
      <c r="F25" s="7" t="inlineStr"/>
      <c r="G25" s="7" t="inlineStr"/>
      <c r="H25" s="7" t="inlineStr"/>
      <c r="I25" s="7" t="inlineStr"/>
    </row>
    <row r="26" ht="60" customHeight="1">
      <c r="A26" s="6" t="inlineStr">
        <is>
          <t>PUBLIC-025</t>
        </is>
      </c>
      <c r="B26" s="6" t="inlineStr">
        <is>
          <t>Dari</t>
        </is>
      </c>
      <c r="C26" s="6" t="inlineStr">
        <is>
          <t>Dari team page</t>
        </is>
      </c>
      <c r="D26" s="6" t="inlineStr">
        <is>
          <t>1. Go to /fa/team</t>
        </is>
      </c>
      <c r="E26" s="6" t="inlineStr">
        <is>
          <t>Team page in Dari with names and bios in Dari</t>
        </is>
      </c>
      <c r="F26" s="6" t="inlineStr"/>
      <c r="G26" s="6" t="inlineStr"/>
      <c r="H26" s="6" t="inlineStr"/>
      <c r="I26" s="6" t="inlineStr"/>
    </row>
    <row r="27" ht="60" customHeight="1">
      <c r="A27" s="7" t="inlineStr">
        <is>
          <t>PUBLIC-026</t>
        </is>
      </c>
      <c r="B27" s="7" t="inlineStr">
        <is>
          <t>Dari</t>
        </is>
      </c>
      <c r="C27" s="7" t="inlineStr">
        <is>
          <t>Dari stories</t>
        </is>
      </c>
      <c r="D27" s="7" t="inlineStr">
        <is>
          <t>1. Go to /fa/stories</t>
        </is>
      </c>
      <c r="E27" s="7" t="inlineStr">
        <is>
          <t>Stories list in Dari layout</t>
        </is>
      </c>
      <c r="F27" s="7" t="inlineStr"/>
      <c r="G27" s="7" t="inlineStr"/>
      <c r="H27" s="7" t="inlineStr"/>
      <c r="I27" s="7" t="inlineStr"/>
    </row>
    <row r="28" ht="60" customHeight="1">
      <c r="A28" s="6" t="inlineStr">
        <is>
          <t>PUBLIC-027</t>
        </is>
      </c>
      <c r="B28" s="6" t="inlineStr">
        <is>
          <t>Performance</t>
        </is>
      </c>
      <c r="C28" s="6" t="inlineStr">
        <is>
          <t>Page load speed</t>
        </is>
      </c>
      <c r="D28" s="6" t="inlineStr">
        <is>
          <t>1. Open the landing page from a fresh browser tab (no cache)</t>
        </is>
      </c>
      <c r="E28" s="6" t="inlineStr">
        <is>
          <t>Page renders in under 5 seconds (after cold start: under 60 seconds)</t>
        </is>
      </c>
      <c r="F28" s="6" t="inlineStr"/>
      <c r="G28" s="6" t="inlineStr"/>
      <c r="H28" s="6" t="inlineStr"/>
      <c r="I28" s="6" t="inlineStr"/>
    </row>
  </sheetData>
  <autoFilter ref="A1:I28"/>
  <conditionalFormatting sqref="F2:F2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F2:F28" showDropDown="0" showInputMessage="0" showErrorMessage="0" allowBlank="1" errorTitle="Invalid result" error="Pick one of: Pass, Fail, Blocked, Skipped" promptTitle="Result" prompt="Pass / Fail / Blocked / Skipped" type="list">
      <formula1>"Pass,Fail,Blocked,Skipped"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50" customWidth="1" min="4" max="4"/>
    <col width="38" customWidth="1" min="5" max="5"/>
    <col width="12" customWidth="1" min="6" max="6"/>
    <col width="16" customWidth="1" min="7" max="7"/>
    <col width="14" customWidth="1" min="8" max="8"/>
    <col width="38" customWidth="1" min="9" max="9"/>
  </cols>
  <sheetData>
    <row r="1" ht="28" customHeight="1">
      <c r="A1" s="8" t="inlineStr">
        <is>
          <t>STUDENT TEST CREDENTIALS — Email: [register a new test student account, then fill in here]   |   Password: [fill in]</t>
        </is>
      </c>
    </row>
    <row r="2" ht="32" customHeight="1">
      <c r="A2" s="5" t="inlineStr">
        <is>
          <t>ID</t>
        </is>
      </c>
      <c r="B2" s="5" t="inlineStr">
        <is>
          <t>Category</t>
        </is>
      </c>
      <c r="C2" s="5" t="inlineStr">
        <is>
          <t>Test scenario</t>
        </is>
      </c>
      <c r="D2" s="5" t="inlineStr">
        <is>
          <t>Steps</t>
        </is>
      </c>
      <c r="E2" s="5" t="inlineStr">
        <is>
          <t>Expected result</t>
        </is>
      </c>
      <c r="F2" s="5" t="inlineStr">
        <is>
          <t>Result</t>
        </is>
      </c>
      <c r="G2" s="5" t="inlineStr">
        <is>
          <t>Tested by</t>
        </is>
      </c>
      <c r="H2" s="5" t="inlineStr">
        <is>
          <t>Date</t>
        </is>
      </c>
      <c r="I2" s="5" t="inlineStr">
        <is>
          <t>Comments</t>
        </is>
      </c>
    </row>
    <row r="3" ht="60" customHeight="1">
      <c r="A3" s="6" t="inlineStr">
        <is>
          <t>STU-001</t>
        </is>
      </c>
      <c r="B3" s="6" t="inlineStr">
        <is>
          <t>Login</t>
        </is>
      </c>
      <c r="C3" s="6" t="inlineStr">
        <is>
          <t>Student can log in</t>
        </is>
      </c>
      <c r="D3" s="6" t="inlineStr">
        <is>
          <t>1. Go to /fa/login
2. Enter the test student credentials above
3. Click Sign in</t>
        </is>
      </c>
      <c r="E3" s="6" t="inlineStr">
        <is>
          <t>Redirected to dashboard with greeting and user info</t>
        </is>
      </c>
      <c r="F3" s="6" t="inlineStr"/>
      <c r="G3" s="6" t="inlineStr"/>
      <c r="H3" s="6" t="inlineStr"/>
      <c r="I3" s="6" t="inlineStr"/>
    </row>
    <row r="4" ht="60" customHeight="1">
      <c r="A4" s="7" t="inlineStr">
        <is>
          <t>STU-002</t>
        </is>
      </c>
      <c r="B4" s="7" t="inlineStr">
        <is>
          <t>Dashboard</t>
        </is>
      </c>
      <c r="C4" s="7" t="inlineStr">
        <is>
          <t>Dashboard renders</t>
        </is>
      </c>
      <c r="D4" s="7" t="inlineStr">
        <is>
          <t>1. After login, look at the dashboard</t>
        </is>
      </c>
      <c r="E4" s="7" t="inlineStr">
        <is>
          <t>Shows: welcome message, enrolled classes, today's sessions, notifications, AI quick-ask</t>
        </is>
      </c>
      <c r="F4" s="7" t="inlineStr"/>
      <c r="G4" s="7" t="inlineStr"/>
      <c r="H4" s="7" t="inlineStr"/>
      <c r="I4" s="7" t="inlineStr"/>
    </row>
    <row r="5" ht="60" customHeight="1">
      <c r="A5" s="6" t="inlineStr">
        <is>
          <t>STU-003</t>
        </is>
      </c>
      <c r="B5" s="6" t="inlineStr">
        <is>
          <t>Dashboard</t>
        </is>
      </c>
      <c r="C5" s="6" t="inlineStr">
        <is>
          <t>Today's sessions visible</t>
        </is>
      </c>
      <c r="D5" s="6" t="inlineStr">
        <is>
          <t>1. Look at 'Today's sessions' section</t>
        </is>
      </c>
      <c r="E5" s="6" t="inlineStr">
        <is>
          <t>Shows session times and class names (text is readable, not invisible-on-dark)</t>
        </is>
      </c>
      <c r="F5" s="6" t="inlineStr"/>
      <c r="G5" s="6" t="inlineStr"/>
      <c r="H5" s="6" t="inlineStr"/>
      <c r="I5" s="6" t="inlineStr"/>
    </row>
    <row r="6" ht="60" customHeight="1">
      <c r="A6" s="7" t="inlineStr">
        <is>
          <t>STU-004</t>
        </is>
      </c>
      <c r="B6" s="7" t="inlineStr">
        <is>
          <t>Dashboard</t>
        </is>
      </c>
      <c r="C6" s="7" t="inlineStr">
        <is>
          <t>Quick AI ask works</t>
        </is>
      </c>
      <c r="D6" s="7" t="inlineStr">
        <is>
          <t>1. Type a question in the quick AI input on the dashboard
2. Click ask</t>
        </is>
      </c>
      <c r="E6" s="7" t="inlineStr">
        <is>
          <t>AI responds with an answer or 'no materials found' message</t>
        </is>
      </c>
      <c r="F6" s="7" t="inlineStr"/>
      <c r="G6" s="7" t="inlineStr"/>
      <c r="H6" s="7" t="inlineStr"/>
      <c r="I6" s="7" t="inlineStr"/>
    </row>
    <row r="7" ht="60" customHeight="1">
      <c r="A7" s="6" t="inlineStr">
        <is>
          <t>STU-005</t>
        </is>
      </c>
      <c r="B7" s="6" t="inlineStr">
        <is>
          <t>Classes</t>
        </is>
      </c>
      <c r="C7" s="6" t="inlineStr">
        <is>
          <t>Browse classes</t>
        </is>
      </c>
      <c r="D7" s="6" t="inlineStr">
        <is>
          <t>1. Click 'Classes' in the sidebar</t>
        </is>
      </c>
      <c r="E7" s="6" t="inlineStr">
        <is>
          <t>Class catalog page loads (may be empty if no classes are active yet)</t>
        </is>
      </c>
      <c r="F7" s="6" t="inlineStr"/>
      <c r="G7" s="6" t="inlineStr"/>
      <c r="H7" s="6" t="inlineStr"/>
      <c r="I7" s="6" t="inlineStr"/>
    </row>
    <row r="8" ht="60" customHeight="1">
      <c r="A8" s="7" t="inlineStr">
        <is>
          <t>STU-006</t>
        </is>
      </c>
      <c r="B8" s="7" t="inlineStr">
        <is>
          <t>Classes</t>
        </is>
      </c>
      <c r="C8" s="7" t="inlineStr">
        <is>
          <t>Search classes</t>
        </is>
      </c>
      <c r="D8" s="7" t="inlineStr">
        <is>
          <t>1. Type a keyword in the search box</t>
        </is>
      </c>
      <c r="E8" s="7" t="inlineStr">
        <is>
          <t>List filters to matching classes</t>
        </is>
      </c>
      <c r="F8" s="7" t="inlineStr"/>
      <c r="G8" s="7" t="inlineStr"/>
      <c r="H8" s="7" t="inlineStr"/>
      <c r="I8" s="7" t="inlineStr"/>
    </row>
    <row r="9" ht="60" customHeight="1">
      <c r="A9" s="6" t="inlineStr">
        <is>
          <t>STU-007</t>
        </is>
      </c>
      <c r="B9" s="6" t="inlineStr">
        <is>
          <t>Classes</t>
        </is>
      </c>
      <c r="C9" s="6" t="inlineStr">
        <is>
          <t>Class detail page</t>
        </is>
      </c>
      <c r="D9" s="6" t="inlineStr">
        <is>
          <t>1. Click on any class card</t>
        </is>
      </c>
      <c r="E9" s="6" t="inlineStr">
        <is>
          <t>Detail page shows: teacher, schedule, language, description, materials, sessions</t>
        </is>
      </c>
      <c r="F9" s="6" t="inlineStr"/>
      <c r="G9" s="6" t="inlineStr"/>
      <c r="H9" s="6" t="inlineStr"/>
      <c r="I9" s="6" t="inlineStr"/>
    </row>
    <row r="10" ht="60" customHeight="1">
      <c r="A10" s="7" t="inlineStr">
        <is>
          <t>STU-008</t>
        </is>
      </c>
      <c r="B10" s="7" t="inlineStr">
        <is>
          <t>Enrollment</t>
        </is>
      </c>
      <c r="C10" s="7" t="inlineStr">
        <is>
          <t>Meet link hidden before enroll</t>
        </is>
      </c>
      <c r="D10" s="7" t="inlineStr">
        <is>
          <t>1. View a class you are NOT enrolled in</t>
        </is>
      </c>
      <c r="E10" s="7" t="inlineStr">
        <is>
          <t>No Google Meet link is visible in session details</t>
        </is>
      </c>
      <c r="F10" s="7" t="inlineStr"/>
      <c r="G10" s="7" t="inlineStr"/>
      <c r="H10" s="7" t="inlineStr"/>
      <c r="I10" s="7" t="inlineStr"/>
    </row>
    <row r="11" ht="60" customHeight="1">
      <c r="A11" s="6" t="inlineStr">
        <is>
          <t>STU-009</t>
        </is>
      </c>
      <c r="B11" s="6" t="inlineStr">
        <is>
          <t>Enrollment</t>
        </is>
      </c>
      <c r="C11" s="6" t="inlineStr">
        <is>
          <t>Enroll in a class</t>
        </is>
      </c>
      <c r="D11" s="6" t="inlineStr">
        <is>
          <t>1. On a class detail page, click 'Enroll'</t>
        </is>
      </c>
      <c r="E11" s="6" t="inlineStr">
        <is>
          <t>Success message; class now appears in your dashboard</t>
        </is>
      </c>
      <c r="F11" s="6" t="inlineStr"/>
      <c r="G11" s="6" t="inlineStr"/>
      <c r="H11" s="6" t="inlineStr"/>
      <c r="I11" s="6" t="inlineStr"/>
    </row>
    <row r="12" ht="60" customHeight="1">
      <c r="A12" s="7" t="inlineStr">
        <is>
          <t>STU-010</t>
        </is>
      </c>
      <c r="B12" s="7" t="inlineStr">
        <is>
          <t>Enrollment</t>
        </is>
      </c>
      <c r="C12" s="7" t="inlineStr">
        <is>
          <t>Meet link visible after enroll</t>
        </is>
      </c>
      <c r="D12" s="7" t="inlineStr">
        <is>
          <t>1. After enrolling, view the same class detail page</t>
        </is>
      </c>
      <c r="E12" s="7" t="inlineStr">
        <is>
          <t>Google Meet link IS now visible in session details</t>
        </is>
      </c>
      <c r="F12" s="7" t="inlineStr"/>
      <c r="G12" s="7" t="inlineStr"/>
      <c r="H12" s="7" t="inlineStr"/>
      <c r="I12" s="7" t="inlineStr"/>
    </row>
    <row r="13" ht="60" customHeight="1">
      <c r="A13" s="6" t="inlineStr">
        <is>
          <t>STU-011</t>
        </is>
      </c>
      <c r="B13" s="6" t="inlineStr">
        <is>
          <t>Enrollment</t>
        </is>
      </c>
      <c r="C13" s="6" t="inlineStr">
        <is>
          <t>Cannot double-enroll</t>
        </is>
      </c>
      <c r="D13" s="6" t="inlineStr">
        <is>
          <t>1. Try to enroll in a class you're already enrolled in</t>
        </is>
      </c>
      <c r="E13" s="6" t="inlineStr">
        <is>
          <t>Either button is disabled or shows 'already enrolled' message</t>
        </is>
      </c>
      <c r="F13" s="6" t="inlineStr"/>
      <c r="G13" s="6" t="inlineStr"/>
      <c r="H13" s="6" t="inlineStr"/>
      <c r="I13" s="6" t="inlineStr"/>
    </row>
    <row r="14" ht="60" customHeight="1">
      <c r="A14" s="7" t="inlineStr">
        <is>
          <t>STU-012</t>
        </is>
      </c>
      <c r="B14" s="7" t="inlineStr">
        <is>
          <t>Live Session</t>
        </is>
      </c>
      <c r="C14" s="7" t="inlineStr">
        <is>
          <t>Live session page loads</t>
        </is>
      </c>
      <c r="D14" s="7" t="inlineStr">
        <is>
          <t>1. From a class, click 'Join' on a session</t>
        </is>
      </c>
      <c r="E14" s="7" t="inlineStr">
        <is>
          <t>Live session companion opens with Meet link, materials, notes pane</t>
        </is>
      </c>
      <c r="F14" s="7" t="inlineStr"/>
      <c r="G14" s="7" t="inlineStr"/>
      <c r="H14" s="7" t="inlineStr"/>
      <c r="I14" s="7" t="inlineStr"/>
    </row>
    <row r="15" ht="60" customHeight="1">
      <c r="A15" s="6" t="inlineStr">
        <is>
          <t>STU-013</t>
        </is>
      </c>
      <c r="B15" s="6" t="inlineStr">
        <is>
          <t>Live Session</t>
        </is>
      </c>
      <c r="C15" s="6" t="inlineStr">
        <is>
          <t>Notes auto-save</t>
        </is>
      </c>
      <c r="D15" s="6" t="inlineStr">
        <is>
          <t>1. In a live session, type some notes
2. Refresh the page</t>
        </is>
      </c>
      <c r="E15" s="6" t="inlineStr">
        <is>
          <t>Notes are still there after refresh</t>
        </is>
      </c>
      <c r="F15" s="6" t="inlineStr"/>
      <c r="G15" s="6" t="inlineStr"/>
      <c r="H15" s="6" t="inlineStr"/>
      <c r="I15" s="6" t="inlineStr"/>
    </row>
    <row r="16" ht="60" customHeight="1">
      <c r="A16" s="7" t="inlineStr">
        <is>
          <t>STU-014</t>
        </is>
      </c>
      <c r="B16" s="7" t="inlineStr">
        <is>
          <t>AI Tutor</t>
        </is>
      </c>
      <c r="C16" s="7" t="inlineStr">
        <is>
          <t>AI tutor page loads</t>
        </is>
      </c>
      <c r="D16" s="7" t="inlineStr">
        <is>
          <t>1. Click 'AI Tutor' / 'Study Assistant' in the sidebar</t>
        </is>
      </c>
      <c r="E16" s="7" t="inlineStr">
        <is>
          <t>Chat interface with input box and suggested questions</t>
        </is>
      </c>
      <c r="F16" s="7" t="inlineStr"/>
      <c r="G16" s="7" t="inlineStr"/>
      <c r="H16" s="7" t="inlineStr"/>
      <c r="I16" s="7" t="inlineStr"/>
    </row>
    <row r="17" ht="60" customHeight="1">
      <c r="A17" s="6" t="inlineStr">
        <is>
          <t>STU-015</t>
        </is>
      </c>
      <c r="B17" s="6" t="inlineStr">
        <is>
          <t>AI Tutor</t>
        </is>
      </c>
      <c r="C17" s="6" t="inlineStr">
        <is>
          <t>Ask a basic question</t>
        </is>
      </c>
      <c r="D17" s="6" t="inlineStr">
        <is>
          <t>1. Type 'Hello, can you help me study?' and press Send</t>
        </is>
      </c>
      <c r="E17" s="6" t="inlineStr">
        <is>
          <t>AI responds with a relevant answer</t>
        </is>
      </c>
      <c r="F17" s="6" t="inlineStr"/>
      <c r="G17" s="6" t="inlineStr"/>
      <c r="H17" s="6" t="inlineStr"/>
      <c r="I17" s="6" t="inlineStr"/>
    </row>
    <row r="18" ht="60" customHeight="1">
      <c r="A18" s="7" t="inlineStr">
        <is>
          <t>STU-016</t>
        </is>
      </c>
      <c r="B18" s="7" t="inlineStr">
        <is>
          <t>AI Tutor</t>
        </is>
      </c>
      <c r="C18" s="7" t="inlineStr">
        <is>
          <t>Ask in Dari</t>
        </is>
      </c>
      <c r="D18" s="7" t="inlineStr">
        <is>
          <t>1. Switch to Dari
2. Ask a question in Dari (e.g. 'سلام، می‌توانی کمک کنی؟')</t>
        </is>
      </c>
      <c r="E18" s="7" t="inlineStr">
        <is>
          <t>AI responds (response may be in Dari)</t>
        </is>
      </c>
      <c r="F18" s="7" t="inlineStr"/>
      <c r="G18" s="7" t="inlineStr"/>
      <c r="H18" s="7" t="inlineStr"/>
      <c r="I18" s="7" t="inlineStr"/>
    </row>
    <row r="19" ht="60" customHeight="1">
      <c r="A19" s="6" t="inlineStr">
        <is>
          <t>STU-017</t>
        </is>
      </c>
      <c r="B19" s="6" t="inlineStr">
        <is>
          <t>AI Tutor</t>
        </is>
      </c>
      <c r="C19" s="6" t="inlineStr">
        <is>
          <t>Mode auto-detection — practice</t>
        </is>
      </c>
      <c r="D19" s="6" t="inlineStr">
        <is>
          <t>1. Type 'Practice English with me'</t>
        </is>
      </c>
      <c r="E19" s="6" t="inlineStr">
        <is>
          <t>AI responds in conversation-practice style</t>
        </is>
      </c>
      <c r="F19" s="6" t="inlineStr"/>
      <c r="G19" s="6" t="inlineStr"/>
      <c r="H19" s="6" t="inlineStr"/>
      <c r="I19" s="6" t="inlineStr"/>
    </row>
    <row r="20" ht="60" customHeight="1">
      <c r="A20" s="7" t="inlineStr">
        <is>
          <t>STU-018</t>
        </is>
      </c>
      <c r="B20" s="7" t="inlineStr">
        <is>
          <t>AI Tutor</t>
        </is>
      </c>
      <c r="C20" s="7" t="inlineStr">
        <is>
          <t>Mode auto-detection — quiz</t>
        </is>
      </c>
      <c r="D20" s="7" t="inlineStr">
        <is>
          <t>1. Type 'Quiz me on photosynthesis'</t>
        </is>
      </c>
      <c r="E20" s="7" t="inlineStr">
        <is>
          <t>AI generates quiz questions on the topic</t>
        </is>
      </c>
      <c r="F20" s="7" t="inlineStr"/>
      <c r="G20" s="7" t="inlineStr"/>
      <c r="H20" s="7" t="inlineStr"/>
      <c r="I20" s="7" t="inlineStr"/>
    </row>
    <row r="21" ht="60" customHeight="1">
      <c r="A21" s="6" t="inlineStr">
        <is>
          <t>STU-019</t>
        </is>
      </c>
      <c r="B21" s="6" t="inlineStr">
        <is>
          <t>AI Tutor</t>
        </is>
      </c>
      <c r="C21" s="6" t="inlineStr">
        <is>
          <t>Mode auto-detection — explain</t>
        </is>
      </c>
      <c r="D21" s="6" t="inlineStr">
        <is>
          <t>1. Type 'Explain mitosis simply'</t>
        </is>
      </c>
      <c r="E21" s="6" t="inlineStr">
        <is>
          <t>AI gives a step-by-step simpler explanation</t>
        </is>
      </c>
      <c r="F21" s="6" t="inlineStr"/>
      <c r="G21" s="6" t="inlineStr"/>
      <c r="H21" s="6" t="inlineStr"/>
      <c r="I21" s="6" t="inlineStr"/>
    </row>
    <row r="22" ht="60" customHeight="1">
      <c r="A22" s="7" t="inlineStr">
        <is>
          <t>STU-020</t>
        </is>
      </c>
      <c r="B22" s="7" t="inlineStr">
        <is>
          <t>AI Tutor</t>
        </is>
      </c>
      <c r="C22" s="7" t="inlineStr">
        <is>
          <t>Citations shown</t>
        </is>
      </c>
      <c r="D22" s="7" t="inlineStr">
        <is>
          <t>1. Ask any question</t>
        </is>
      </c>
      <c r="E22" s="7" t="inlineStr">
        <is>
          <t>Response includes source citations (or notes 'no source materials found')</t>
        </is>
      </c>
      <c r="F22" s="7" t="inlineStr"/>
      <c r="G22" s="7" t="inlineStr"/>
      <c r="H22" s="7" t="inlineStr"/>
      <c r="I22" s="7" t="inlineStr"/>
    </row>
    <row r="23" ht="60" customHeight="1">
      <c r="A23" s="6" t="inlineStr">
        <is>
          <t>STU-021</t>
        </is>
      </c>
      <c r="B23" s="6" t="inlineStr">
        <is>
          <t>AI Tutor</t>
        </is>
      </c>
      <c r="C23" s="6" t="inlineStr">
        <is>
          <t>Confidence label visible</t>
        </is>
      </c>
      <c r="D23" s="6" t="inlineStr">
        <is>
          <t>1. Ask a question</t>
        </is>
      </c>
      <c r="E23" s="6" t="inlineStr">
        <is>
          <t>Response shows a confidence indicator (high/medium/low)</t>
        </is>
      </c>
      <c r="F23" s="6" t="inlineStr"/>
      <c r="G23" s="6" t="inlineStr"/>
      <c r="H23" s="6" t="inlineStr"/>
      <c r="I23" s="6" t="inlineStr"/>
    </row>
    <row r="24" ht="60" customHeight="1">
      <c r="A24" s="7" t="inlineStr">
        <is>
          <t>STU-022</t>
        </is>
      </c>
      <c r="B24" s="7" t="inlineStr">
        <is>
          <t>AI Tutor</t>
        </is>
      </c>
      <c r="C24" s="7" t="inlineStr">
        <is>
          <t>Feedback thumbs</t>
        </is>
      </c>
      <c r="D24" s="7" t="inlineStr">
        <is>
          <t>1. Ask a question, then click thumbs-up or thumbs-down on the response</t>
        </is>
      </c>
      <c r="E24" s="7" t="inlineStr">
        <is>
          <t>Feedback recorded; no error shown</t>
        </is>
      </c>
      <c r="F24" s="7" t="inlineStr"/>
      <c r="G24" s="7" t="inlineStr"/>
      <c r="H24" s="7" t="inlineStr"/>
      <c r="I24" s="7" t="inlineStr"/>
    </row>
    <row r="25" ht="60" customHeight="1">
      <c r="A25" s="6" t="inlineStr">
        <is>
          <t>STU-023</t>
        </is>
      </c>
      <c r="B25" s="6" t="inlineStr">
        <is>
          <t>Self Learning</t>
        </is>
      </c>
      <c r="C25" s="6" t="inlineStr">
        <is>
          <t>Self learning page loads</t>
        </is>
      </c>
      <c r="D25" s="6" t="inlineStr">
        <is>
          <t>1. Click 'Self Learning' in sidebar</t>
        </is>
      </c>
      <c r="E25" s="6" t="inlineStr">
        <is>
          <t>Topic selection screen appears</t>
        </is>
      </c>
      <c r="F25" s="6" t="inlineStr"/>
      <c r="G25" s="6" t="inlineStr"/>
      <c r="H25" s="6" t="inlineStr"/>
      <c r="I25" s="6" t="inlineStr"/>
    </row>
    <row r="26" ht="60" customHeight="1">
      <c r="A26" s="7" t="inlineStr">
        <is>
          <t>STU-024</t>
        </is>
      </c>
      <c r="B26" s="7" t="inlineStr">
        <is>
          <t>Self Learning</t>
        </is>
      </c>
      <c r="C26" s="7" t="inlineStr">
        <is>
          <t>Generate a learning path</t>
        </is>
      </c>
      <c r="D26" s="7" t="inlineStr">
        <is>
          <t>1. Enter a topic (e.g. 'Python basics')
2. Click Generate</t>
        </is>
      </c>
      <c r="E26" s="7" t="inlineStr">
        <is>
          <t>Learning path with multiple lessons appears</t>
        </is>
      </c>
      <c r="F26" s="7" t="inlineStr"/>
      <c r="G26" s="7" t="inlineStr"/>
      <c r="H26" s="7" t="inlineStr"/>
      <c r="I26" s="7" t="inlineStr"/>
    </row>
    <row r="27" ht="60" customHeight="1">
      <c r="A27" s="6" t="inlineStr">
        <is>
          <t>STU-025</t>
        </is>
      </c>
      <c r="B27" s="6" t="inlineStr">
        <is>
          <t>Self Learning</t>
        </is>
      </c>
      <c r="C27" s="6" t="inlineStr">
        <is>
          <t>Open a lesson</t>
        </is>
      </c>
      <c r="D27" s="6" t="inlineStr">
        <is>
          <t>1. Click on the first lesson in a path</t>
        </is>
      </c>
      <c r="E27" s="6" t="inlineStr">
        <is>
          <t>Lesson page loads with content sections, quiz, and chat</t>
        </is>
      </c>
      <c r="F27" s="6" t="inlineStr"/>
      <c r="G27" s="6" t="inlineStr"/>
      <c r="H27" s="6" t="inlineStr"/>
      <c r="I27" s="6" t="inlineStr"/>
    </row>
    <row r="28" ht="60" customHeight="1">
      <c r="A28" s="7" t="inlineStr">
        <is>
          <t>STU-026</t>
        </is>
      </c>
      <c r="B28" s="7" t="inlineStr">
        <is>
          <t>Self Learning</t>
        </is>
      </c>
      <c r="C28" s="7" t="inlineStr">
        <is>
          <t>Lesson chat</t>
        </is>
      </c>
      <c r="D28" s="7" t="inlineStr">
        <is>
          <t>1. In a lesson, ask a question in the lesson chat</t>
        </is>
      </c>
      <c r="E28" s="7" t="inlineStr">
        <is>
          <t>AI responds about the lesson topic</t>
        </is>
      </c>
      <c r="F28" s="7" t="inlineStr"/>
      <c r="G28" s="7" t="inlineStr"/>
      <c r="H28" s="7" t="inlineStr"/>
      <c r="I28" s="7" t="inlineStr"/>
    </row>
    <row r="29" ht="60" customHeight="1">
      <c r="A29" s="6" t="inlineStr">
        <is>
          <t>STU-027</t>
        </is>
      </c>
      <c r="B29" s="6" t="inlineStr">
        <is>
          <t>Stories</t>
        </is>
      </c>
      <c r="C29" s="6" t="inlineStr">
        <is>
          <t>Stories list (logged in)</t>
        </is>
      </c>
      <c r="D29" s="6" t="inlineStr">
        <is>
          <t>1. Click 'Stories' in sidebar</t>
        </is>
      </c>
      <c r="E29" s="6" t="inlineStr">
        <is>
          <t>List of published stories</t>
        </is>
      </c>
      <c r="F29" s="6" t="inlineStr"/>
      <c r="G29" s="6" t="inlineStr"/>
      <c r="H29" s="6" t="inlineStr"/>
      <c r="I29" s="6" t="inlineStr"/>
    </row>
    <row r="30" ht="60" customHeight="1">
      <c r="A30" s="7" t="inlineStr">
        <is>
          <t>STU-028</t>
        </is>
      </c>
      <c r="B30" s="7" t="inlineStr">
        <is>
          <t>Stories</t>
        </is>
      </c>
      <c r="C30" s="7" t="inlineStr">
        <is>
          <t>Write a story</t>
        </is>
      </c>
      <c r="D30" s="7" t="inlineStr">
        <is>
          <t>1. Go to /stories/write
2. Fill title, content, type
3. Submit for review</t>
        </is>
      </c>
      <c r="E30" s="7" t="inlineStr">
        <is>
          <t>Submission accepted, status = pending review</t>
        </is>
      </c>
      <c r="F30" s="7" t="inlineStr"/>
      <c r="G30" s="7" t="inlineStr"/>
      <c r="H30" s="7" t="inlineStr"/>
      <c r="I30" s="7" t="inlineStr"/>
    </row>
    <row r="31" ht="60" customHeight="1">
      <c r="A31" s="6" t="inlineStr">
        <is>
          <t>STU-029</t>
        </is>
      </c>
      <c r="B31" s="6" t="inlineStr">
        <is>
          <t>Profile</t>
        </is>
      </c>
      <c r="C31" s="6" t="inlineStr">
        <is>
          <t>Profile page loads</t>
        </is>
      </c>
      <c r="D31" s="6" t="inlineStr">
        <is>
          <t>1. Click profile icon / 'Profile'</t>
        </is>
      </c>
      <c r="E31" s="6" t="inlineStr">
        <is>
          <t>Shows: name, email, role, language, attendance, password change form</t>
        </is>
      </c>
      <c r="F31" s="6" t="inlineStr"/>
      <c r="G31" s="6" t="inlineStr"/>
      <c r="H31" s="6" t="inlineStr"/>
      <c r="I31" s="6" t="inlineStr"/>
    </row>
    <row r="32" ht="60" customHeight="1">
      <c r="A32" s="7" t="inlineStr">
        <is>
          <t>STU-030</t>
        </is>
      </c>
      <c r="B32" s="7" t="inlineStr">
        <is>
          <t>Profile</t>
        </is>
      </c>
      <c r="C32" s="7" t="inlineStr">
        <is>
          <t>Change password</t>
        </is>
      </c>
      <c r="D32" s="7" t="inlineStr">
        <is>
          <t>1. In profile, fill: current password, new password (6+ chars), confirm
2. Click Update</t>
        </is>
      </c>
      <c r="E32" s="7" t="inlineStr">
        <is>
          <t>Success message; old password no longer works</t>
        </is>
      </c>
      <c r="F32" s="7" t="inlineStr"/>
      <c r="G32" s="7" t="inlineStr"/>
      <c r="H32" s="7" t="inlineStr"/>
      <c r="I32" s="7" t="inlineStr"/>
    </row>
    <row r="33" ht="60" customHeight="1">
      <c r="A33" s="6" t="inlineStr">
        <is>
          <t>STU-031</t>
        </is>
      </c>
      <c r="B33" s="6" t="inlineStr">
        <is>
          <t>Profile</t>
        </is>
      </c>
      <c r="C33" s="6" t="inlineStr">
        <is>
          <t>Password change validates mismatch</t>
        </is>
      </c>
      <c r="D33" s="6" t="inlineStr">
        <is>
          <t>1. Enter new password and a different confirmation
2. Click Update</t>
        </is>
      </c>
      <c r="E33" s="6" t="inlineStr">
        <is>
          <t>Error: passwords don't match</t>
        </is>
      </c>
      <c r="F33" s="6" t="inlineStr"/>
      <c r="G33" s="6" t="inlineStr"/>
      <c r="H33" s="6" t="inlineStr"/>
      <c r="I33" s="6" t="inlineStr"/>
    </row>
    <row r="34" ht="60" customHeight="1">
      <c r="A34" s="7" t="inlineStr">
        <is>
          <t>STU-032</t>
        </is>
      </c>
      <c r="B34" s="7" t="inlineStr">
        <is>
          <t>Profile</t>
        </is>
      </c>
      <c r="C34" s="7" t="inlineStr">
        <is>
          <t>Password change requires current</t>
        </is>
      </c>
      <c r="D34" s="7" t="inlineStr">
        <is>
          <t>1. Enter wrong current password + valid new password
2. Click Update</t>
        </is>
      </c>
      <c r="E34" s="7" t="inlineStr">
        <is>
          <t>Error: current password is incorrect</t>
        </is>
      </c>
      <c r="F34" s="7" t="inlineStr"/>
      <c r="G34" s="7" t="inlineStr"/>
      <c r="H34" s="7" t="inlineStr"/>
      <c r="I34" s="7" t="inlineStr"/>
    </row>
    <row r="35" ht="60" customHeight="1">
      <c r="A35" s="6" t="inlineStr">
        <is>
          <t>STU-033</t>
        </is>
      </c>
      <c r="B35" s="6" t="inlineStr">
        <is>
          <t>Library</t>
        </is>
      </c>
      <c r="C35" s="6" t="inlineStr">
        <is>
          <t>Library loads</t>
        </is>
      </c>
      <c r="D35" s="6" t="inlineStr">
        <is>
          <t>1. Click 'Library' in sidebar</t>
        </is>
      </c>
      <c r="E35" s="6" t="inlineStr">
        <is>
          <t>List of resources appears (may be empty)</t>
        </is>
      </c>
      <c r="F35" s="6" t="inlineStr"/>
      <c r="G35" s="6" t="inlineStr"/>
      <c r="H35" s="6" t="inlineStr"/>
      <c r="I35" s="6" t="inlineStr"/>
    </row>
    <row r="36" ht="60" customHeight="1">
      <c r="A36" s="7" t="inlineStr">
        <is>
          <t>STU-034</t>
        </is>
      </c>
      <c r="B36" s="7" t="inlineStr">
        <is>
          <t>Opportunities</t>
        </is>
      </c>
      <c r="C36" s="7" t="inlineStr">
        <is>
          <t>Opportunities loads</t>
        </is>
      </c>
      <c r="D36" s="7" t="inlineStr">
        <is>
          <t>1. Click 'Opportunities' in sidebar</t>
        </is>
      </c>
      <c r="E36" s="7" t="inlineStr">
        <is>
          <t>List of opportunities appears (may be empty)</t>
        </is>
      </c>
      <c r="F36" s="7" t="inlineStr"/>
      <c r="G36" s="7" t="inlineStr"/>
      <c r="H36" s="7" t="inlineStr"/>
      <c r="I36" s="7" t="inlineStr"/>
    </row>
    <row r="37" ht="60" customHeight="1">
      <c r="A37" s="6" t="inlineStr">
        <is>
          <t>STU-035</t>
        </is>
      </c>
      <c r="B37" s="6" t="inlineStr">
        <is>
          <t>Webinars</t>
        </is>
      </c>
      <c r="C37" s="6" t="inlineStr">
        <is>
          <t>Webinars loads</t>
        </is>
      </c>
      <c r="D37" s="6" t="inlineStr">
        <is>
          <t>1. Click 'Webinars' in sidebar</t>
        </is>
      </c>
      <c r="E37" s="6" t="inlineStr">
        <is>
          <t>List of upcoming webinars appears</t>
        </is>
      </c>
      <c r="F37" s="6" t="inlineStr"/>
      <c r="G37" s="6" t="inlineStr"/>
      <c r="H37" s="6" t="inlineStr"/>
      <c r="I37" s="6" t="inlineStr"/>
    </row>
    <row r="38" ht="60" customHeight="1">
      <c r="A38" s="7" t="inlineStr">
        <is>
          <t>STU-036</t>
        </is>
      </c>
      <c r="B38" s="7" t="inlineStr">
        <is>
          <t>Webinars</t>
        </is>
      </c>
      <c r="C38" s="7" t="inlineStr">
        <is>
          <t>Register for a webinar</t>
        </is>
      </c>
      <c r="D38" s="7" t="inlineStr">
        <is>
          <t>1. Click Register on any webinar</t>
        </is>
      </c>
      <c r="E38" s="7" t="inlineStr">
        <is>
          <t>Registration confirmed; Meet link becomes visible</t>
        </is>
      </c>
      <c r="F38" s="7" t="inlineStr"/>
      <c r="G38" s="7" t="inlineStr"/>
      <c r="H38" s="7" t="inlineStr"/>
      <c r="I38" s="7" t="inlineStr"/>
    </row>
    <row r="39" ht="60" customHeight="1">
      <c r="A39" s="6" t="inlineStr">
        <is>
          <t>STU-037</t>
        </is>
      </c>
      <c r="B39" s="6" t="inlineStr">
        <is>
          <t>Notifications</t>
        </is>
      </c>
      <c r="C39" s="6" t="inlineStr">
        <is>
          <t>Notifications visible</t>
        </is>
      </c>
      <c r="D39" s="6" t="inlineStr">
        <is>
          <t>1. Check the notifications area on dashboard</t>
        </is>
      </c>
      <c r="E39" s="6" t="inlineStr">
        <is>
          <t>Shows notifications or 'no notifications' empty state</t>
        </is>
      </c>
      <c r="F39" s="6" t="inlineStr"/>
      <c r="G39" s="6" t="inlineStr"/>
      <c r="H39" s="6" t="inlineStr"/>
      <c r="I39" s="6" t="inlineStr"/>
    </row>
    <row r="40" ht="60" customHeight="1">
      <c r="A40" s="7" t="inlineStr">
        <is>
          <t>STU-038</t>
        </is>
      </c>
      <c r="B40" s="7" t="inlineStr">
        <is>
          <t>Notifications</t>
        </is>
      </c>
      <c r="C40" s="7" t="inlineStr">
        <is>
          <t>Notification preferences</t>
        </is>
      </c>
      <c r="D40" s="7" t="inlineStr">
        <is>
          <t>1. Go to profile → notification preferences
2. Toggle channels (email, telegram, push)
3. Save</t>
        </is>
      </c>
      <c r="E40" s="7" t="inlineStr">
        <is>
          <t>Preferences saved successfully</t>
        </is>
      </c>
      <c r="F40" s="7" t="inlineStr"/>
      <c r="G40" s="7" t="inlineStr"/>
      <c r="H40" s="7" t="inlineStr"/>
      <c r="I40" s="7" t="inlineStr"/>
    </row>
    <row r="41" ht="60" customHeight="1">
      <c r="A41" s="6" t="inlineStr">
        <is>
          <t>STU-039</t>
        </is>
      </c>
      <c r="B41" s="6" t="inlineStr">
        <is>
          <t>Language</t>
        </is>
      </c>
      <c r="C41" s="6" t="inlineStr">
        <is>
          <t>Switch student dashboard to Dari</t>
        </is>
      </c>
      <c r="D41" s="6" t="inlineStr">
        <is>
          <t>1. From dashboard, click 'دری' toggle</t>
        </is>
      </c>
      <c r="E41" s="6" t="inlineStr">
        <is>
          <t>Dashboard switches to Dari with RTL layout; nothing breaks</t>
        </is>
      </c>
      <c r="F41" s="6" t="inlineStr"/>
      <c r="G41" s="6" t="inlineStr"/>
      <c r="H41" s="6" t="inlineStr"/>
      <c r="I41" s="6" t="inlineStr"/>
    </row>
    <row r="42" ht="60" customHeight="1">
      <c r="A42" s="7" t="inlineStr">
        <is>
          <t>STU-040</t>
        </is>
      </c>
      <c r="B42" s="7" t="inlineStr">
        <is>
          <t>Language</t>
        </is>
      </c>
      <c r="C42" s="7" t="inlineStr">
        <is>
          <t>Switch back to English</t>
        </is>
      </c>
      <c r="D42" s="7" t="inlineStr">
        <is>
          <t>1. From Dari dashboard, click 'English'</t>
        </is>
      </c>
      <c r="E42" s="7" t="inlineStr">
        <is>
          <t>Dashboard switches back to English</t>
        </is>
      </c>
      <c r="F42" s="7" t="inlineStr"/>
      <c r="G42" s="7" t="inlineStr"/>
      <c r="H42" s="7" t="inlineStr"/>
      <c r="I42" s="7" t="inlineStr"/>
    </row>
    <row r="43" ht="60" customHeight="1">
      <c r="A43" s="6" t="inlineStr">
        <is>
          <t>STU-041</t>
        </is>
      </c>
      <c r="B43" s="6" t="inlineStr">
        <is>
          <t>Logout</t>
        </is>
      </c>
      <c r="C43" s="6" t="inlineStr">
        <is>
          <t>Sign out</t>
        </is>
      </c>
      <c r="D43" s="6" t="inlineStr">
        <is>
          <t>1. Click 'Sign out' in sidebar or profile</t>
        </is>
      </c>
      <c r="E43" s="6" t="inlineStr">
        <is>
          <t>Redirected to login page; cannot access dashboard without re-login</t>
        </is>
      </c>
      <c r="F43" s="6" t="inlineStr"/>
      <c r="G43" s="6" t="inlineStr"/>
      <c r="H43" s="6" t="inlineStr"/>
      <c r="I43" s="6" t="inlineStr"/>
    </row>
  </sheetData>
  <autoFilter ref="A2:I43"/>
  <mergeCells count="1">
    <mergeCell ref="A1:I1"/>
  </mergeCells>
  <conditionalFormatting sqref="F3:F4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F3:F43" showDropDown="0" showInputMessage="0" showErrorMessage="0" allowBlank="1" errorTitle="Invalid result" error="Pick one of: Pass, Fail, Blocked, Skipped" promptTitle="Result" prompt="Pass / Fail / Blocked / Skipped" type="list">
      <formula1>"Pass,Fail,Blocked,Skipped"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50" customWidth="1" min="4" max="4"/>
    <col width="38" customWidth="1" min="5" max="5"/>
    <col width="12" customWidth="1" min="6" max="6"/>
    <col width="16" customWidth="1" min="7" max="7"/>
    <col width="14" customWidth="1" min="8" max="8"/>
    <col width="38" customWidth="1" min="9" max="9"/>
  </cols>
  <sheetData>
    <row r="1" ht="28" customHeight="1">
      <c r="A1" s="8" t="inlineStr">
        <is>
          <t>TEACHER TEST CREDENTIALS — Email: [register a new test teacher account, then fill in here]   |   Password: [fill in]</t>
        </is>
      </c>
    </row>
    <row r="2" ht="32" customHeight="1">
      <c r="A2" s="5" t="inlineStr">
        <is>
          <t>ID</t>
        </is>
      </c>
      <c r="B2" s="5" t="inlineStr">
        <is>
          <t>Category</t>
        </is>
      </c>
      <c r="C2" s="5" t="inlineStr">
        <is>
          <t>Test scenario</t>
        </is>
      </c>
      <c r="D2" s="5" t="inlineStr">
        <is>
          <t>Steps</t>
        </is>
      </c>
      <c r="E2" s="5" t="inlineStr">
        <is>
          <t>Expected result</t>
        </is>
      </c>
      <c r="F2" s="5" t="inlineStr">
        <is>
          <t>Result</t>
        </is>
      </c>
      <c r="G2" s="5" t="inlineStr">
        <is>
          <t>Tested by</t>
        </is>
      </c>
      <c r="H2" s="5" t="inlineStr">
        <is>
          <t>Date</t>
        </is>
      </c>
      <c r="I2" s="5" t="inlineStr">
        <is>
          <t>Comments</t>
        </is>
      </c>
    </row>
    <row r="3" ht="60" customHeight="1">
      <c r="A3" s="6" t="inlineStr">
        <is>
          <t>TEA-001</t>
        </is>
      </c>
      <c r="B3" s="6" t="inlineStr">
        <is>
          <t>Login</t>
        </is>
      </c>
      <c r="C3" s="6" t="inlineStr">
        <is>
          <t>Teacher can log in</t>
        </is>
      </c>
      <c r="D3" s="6" t="inlineStr">
        <is>
          <t>1. Use teacher test credentials
2. Click Sign in</t>
        </is>
      </c>
      <c r="E3" s="6" t="inlineStr">
        <is>
          <t>Dashboard loads; sidebar shows extra 'Teacher' section</t>
        </is>
      </c>
      <c r="F3" s="6" t="inlineStr"/>
      <c r="G3" s="6" t="inlineStr"/>
      <c r="H3" s="6" t="inlineStr"/>
      <c r="I3" s="6" t="inlineStr"/>
    </row>
    <row r="4" ht="60" customHeight="1">
      <c r="A4" s="7" t="inlineStr">
        <is>
          <t>TEA-002</t>
        </is>
      </c>
      <c r="B4" s="7" t="inlineStr">
        <is>
          <t>Availability</t>
        </is>
      </c>
      <c r="C4" s="7" t="inlineStr">
        <is>
          <t>Availability page loads</t>
        </is>
      </c>
      <c r="D4" s="7" t="inlineStr">
        <is>
          <t>1. Click 'Teacher' or 'Availability' in sidebar</t>
        </is>
      </c>
      <c r="E4" s="7" t="inlineStr">
        <is>
          <t>Weekly time grid appears</t>
        </is>
      </c>
      <c r="F4" s="7" t="inlineStr"/>
      <c r="G4" s="7" t="inlineStr"/>
      <c r="H4" s="7" t="inlineStr"/>
      <c r="I4" s="7" t="inlineStr"/>
    </row>
    <row r="5" ht="60" customHeight="1">
      <c r="A5" s="6" t="inlineStr">
        <is>
          <t>TEA-003</t>
        </is>
      </c>
      <c r="B5" s="6" t="inlineStr">
        <is>
          <t>Availability</t>
        </is>
      </c>
      <c r="C5" s="6" t="inlineStr">
        <is>
          <t>Set availability slots</t>
        </is>
      </c>
      <c r="D5" s="6" t="inlineStr">
        <is>
          <t>1. Click time slots in the weekly grid (e.g. Tue 6-8pm)
2. Click Save</t>
        </is>
      </c>
      <c r="E5" s="6" t="inlineStr">
        <is>
          <t>Selected slots are saved; visible after refresh</t>
        </is>
      </c>
      <c r="F5" s="6" t="inlineStr"/>
      <c r="G5" s="6" t="inlineStr"/>
      <c r="H5" s="6" t="inlineStr"/>
      <c r="I5" s="6" t="inlineStr"/>
    </row>
    <row r="6" ht="60" customHeight="1">
      <c r="A6" s="7" t="inlineStr">
        <is>
          <t>TEA-004</t>
        </is>
      </c>
      <c r="B6" s="7" t="inlineStr">
        <is>
          <t>Availability</t>
        </is>
      </c>
      <c r="C6" s="7" t="inlineStr">
        <is>
          <t>Clear availability slot</t>
        </is>
      </c>
      <c r="D6" s="7" t="inlineStr">
        <is>
          <t>1. Click an already-selected slot to deselect it
2. Save</t>
        </is>
      </c>
      <c r="E6" s="7" t="inlineStr">
        <is>
          <t>Slot is cleared after refresh</t>
        </is>
      </c>
      <c r="F6" s="7" t="inlineStr"/>
      <c r="G6" s="7" t="inlineStr"/>
      <c r="H6" s="7" t="inlineStr"/>
      <c r="I6" s="7" t="inlineStr"/>
    </row>
    <row r="7" ht="60" customHeight="1">
      <c r="A7" s="6" t="inlineStr">
        <is>
          <t>TEA-005</t>
        </is>
      </c>
      <c r="B7" s="6" t="inlineStr">
        <is>
          <t>My Classes</t>
        </is>
      </c>
      <c r="C7" s="6" t="inlineStr">
        <is>
          <t>View assigned classes</t>
        </is>
      </c>
      <c r="D7" s="6" t="inlineStr">
        <is>
          <t>1. Click 'My Classes' in sidebar</t>
        </is>
      </c>
      <c r="E7" s="6" t="inlineStr">
        <is>
          <t>Lists all classes assigned to this teacher (may be empty if none assigned yet)</t>
        </is>
      </c>
      <c r="F7" s="6" t="inlineStr"/>
      <c r="G7" s="6" t="inlineStr"/>
      <c r="H7" s="6" t="inlineStr"/>
      <c r="I7" s="6" t="inlineStr"/>
    </row>
    <row r="8" ht="60" customHeight="1">
      <c r="A8" s="7" t="inlineStr">
        <is>
          <t>TEA-006</t>
        </is>
      </c>
      <c r="B8" s="7" t="inlineStr">
        <is>
          <t>Materials</t>
        </is>
      </c>
      <c r="C8" s="7" t="inlineStr">
        <is>
          <t>Upload class material</t>
        </is>
      </c>
      <c r="D8" s="7" t="inlineStr">
        <is>
          <t>1. Open a class detail page
2. In Materials section, click Upload
3. Choose a PDF
4. Submit</t>
        </is>
      </c>
      <c r="E8" s="7" t="inlineStr">
        <is>
          <t>Material appears in the materials list; downloadable</t>
        </is>
      </c>
      <c r="F8" s="7" t="inlineStr"/>
      <c r="G8" s="7" t="inlineStr"/>
      <c r="H8" s="7" t="inlineStr"/>
      <c r="I8" s="7" t="inlineStr"/>
    </row>
    <row r="9" ht="60" customHeight="1">
      <c r="A9" s="6" t="inlineStr">
        <is>
          <t>TEA-007</t>
        </is>
      </c>
      <c r="B9" s="6" t="inlineStr">
        <is>
          <t>Materials</t>
        </is>
      </c>
      <c r="C9" s="6" t="inlineStr">
        <is>
          <t>Material visible to students</t>
        </is>
      </c>
      <c r="D9" s="6" t="inlineStr">
        <is>
          <t>1. After uploading, log in as enrolled student
2. View same class</t>
        </is>
      </c>
      <c r="E9" s="6" t="inlineStr">
        <is>
          <t>Same material appears in the student's view</t>
        </is>
      </c>
      <c r="F9" s="6" t="inlineStr"/>
      <c r="G9" s="6" t="inlineStr"/>
      <c r="H9" s="6" t="inlineStr"/>
      <c r="I9" s="6" t="inlineStr"/>
    </row>
    <row r="10" ht="60" customHeight="1">
      <c r="A10" s="7" t="inlineStr">
        <is>
          <t>TEA-008</t>
        </is>
      </c>
      <c r="B10" s="7" t="inlineStr">
        <is>
          <t>Announcements</t>
        </is>
      </c>
      <c r="C10" s="7" t="inlineStr">
        <is>
          <t>Post announcement</t>
        </is>
      </c>
      <c r="D10" s="7" t="inlineStr">
        <is>
          <t>1. From class detail, click 'Post announcement'
2. Type message
3. Submit</t>
        </is>
      </c>
      <c r="E10" s="7" t="inlineStr">
        <is>
          <t>Announcement appears at top of class detail; visible to enrolled students</t>
        </is>
      </c>
      <c r="F10" s="7" t="inlineStr"/>
      <c r="G10" s="7" t="inlineStr"/>
      <c r="H10" s="7" t="inlineStr"/>
      <c r="I10" s="7" t="inlineStr"/>
    </row>
    <row r="11" ht="60" customHeight="1">
      <c r="A11" s="6" t="inlineStr">
        <is>
          <t>TEA-009</t>
        </is>
      </c>
      <c r="B11" s="6" t="inlineStr">
        <is>
          <t>Attendance</t>
        </is>
      </c>
      <c r="C11" s="6" t="inlineStr">
        <is>
          <t>Attendance page loads</t>
        </is>
      </c>
      <c r="D11" s="6" t="inlineStr">
        <is>
          <t>1. Go to a class → Attendance</t>
        </is>
      </c>
      <c r="E11" s="6" t="inlineStr">
        <is>
          <t>Roster of enrolled students with checkboxes</t>
        </is>
      </c>
      <c r="F11" s="6" t="inlineStr"/>
      <c r="G11" s="6" t="inlineStr"/>
      <c r="H11" s="6" t="inlineStr"/>
      <c r="I11" s="6" t="inlineStr"/>
    </row>
    <row r="12" ht="60" customHeight="1">
      <c r="A12" s="7" t="inlineStr">
        <is>
          <t>TEA-010</t>
        </is>
      </c>
      <c r="B12" s="7" t="inlineStr">
        <is>
          <t>Attendance</t>
        </is>
      </c>
      <c r="C12" s="7" t="inlineStr">
        <is>
          <t>Mark attendance</t>
        </is>
      </c>
      <c r="D12" s="7" t="inlineStr">
        <is>
          <t>1. Toggle Present checkbox for each student
2. Save</t>
        </is>
      </c>
      <c r="E12" s="7" t="inlineStr">
        <is>
          <t>Attendance saved; visible on student profiles</t>
        </is>
      </c>
      <c r="F12" s="7" t="inlineStr"/>
      <c r="G12" s="7" t="inlineStr"/>
      <c r="H12" s="7" t="inlineStr"/>
      <c r="I12" s="7" t="inlineStr"/>
    </row>
    <row r="13" ht="60" customHeight="1">
      <c r="A13" s="6" t="inlineStr">
        <is>
          <t>TEA-011</t>
        </is>
      </c>
      <c r="B13" s="6" t="inlineStr">
        <is>
          <t>Attendance</t>
        </is>
      </c>
      <c r="C13" s="6" t="inlineStr">
        <is>
          <t>Class summary</t>
        </is>
      </c>
      <c r="D13" s="6" t="inlineStr">
        <is>
          <t>1. Open Class Attendance Summary</t>
        </is>
      </c>
      <c r="E13" s="6" t="inlineStr">
        <is>
          <t>Per-student attendance rates over all sessions</t>
        </is>
      </c>
      <c r="F13" s="6" t="inlineStr"/>
      <c r="G13" s="6" t="inlineStr"/>
      <c r="H13" s="6" t="inlineStr"/>
      <c r="I13" s="6" t="inlineStr"/>
    </row>
    <row r="14" ht="60" customHeight="1">
      <c r="A14" s="7" t="inlineStr">
        <is>
          <t>TEA-012</t>
        </is>
      </c>
      <c r="B14" s="7" t="inlineStr">
        <is>
          <t>Homework</t>
        </is>
      </c>
      <c r="C14" s="7" t="inlineStr">
        <is>
          <t>Create homework assignment</t>
        </is>
      </c>
      <c r="D14" s="7" t="inlineStr">
        <is>
          <t>1. Inside a session, click 'Add Assignment'
2. Fill title, description, due date
3. Save</t>
        </is>
      </c>
      <c r="E14" s="7" t="inlineStr">
        <is>
          <t>Assignment created; visible to enrolled students</t>
        </is>
      </c>
      <c r="F14" s="7" t="inlineStr"/>
      <c r="G14" s="7" t="inlineStr"/>
      <c r="H14" s="7" t="inlineStr"/>
      <c r="I14" s="7" t="inlineStr"/>
    </row>
    <row r="15" ht="60" customHeight="1">
      <c r="A15" s="6" t="inlineStr">
        <is>
          <t>TEA-013</t>
        </is>
      </c>
      <c r="B15" s="6" t="inlineStr">
        <is>
          <t>Homework</t>
        </is>
      </c>
      <c r="C15" s="6" t="inlineStr">
        <is>
          <t>Review submissions</t>
        </is>
      </c>
      <c r="D15" s="6" t="inlineStr">
        <is>
          <t>1. Open an assignment with submissions</t>
        </is>
      </c>
      <c r="E15" s="6" t="inlineStr">
        <is>
          <t>List of student submissions with their content + auto-generated AI review</t>
        </is>
      </c>
      <c r="F15" s="6" t="inlineStr"/>
      <c r="G15" s="6" t="inlineStr"/>
      <c r="H15" s="6" t="inlineStr"/>
      <c r="I15" s="6" t="inlineStr"/>
    </row>
    <row r="16" ht="60" customHeight="1">
      <c r="A16" s="7" t="inlineStr">
        <is>
          <t>TEA-014</t>
        </is>
      </c>
      <c r="B16" s="7" t="inlineStr">
        <is>
          <t>Sessions</t>
        </is>
      </c>
      <c r="C16" s="7" t="inlineStr">
        <is>
          <t>Cancel a session</t>
        </is>
      </c>
      <c r="D16" s="7" t="inlineStr">
        <is>
          <t>1. From class detail, find an upcoming session
2. Click Cancel</t>
        </is>
      </c>
      <c r="E16" s="7" t="inlineStr">
        <is>
          <t>Session marked cancelled; students notified</t>
        </is>
      </c>
      <c r="F16" s="7" t="inlineStr"/>
      <c r="G16" s="7" t="inlineStr"/>
      <c r="H16" s="7" t="inlineStr"/>
      <c r="I16" s="7" t="inlineStr"/>
    </row>
  </sheetData>
  <autoFilter ref="A2:I16"/>
  <mergeCells count="1">
    <mergeCell ref="A1:I1"/>
  </mergeCells>
  <conditionalFormatting sqref="F3:F1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F3:F16" showDropDown="0" showInputMessage="0" showErrorMessage="0" allowBlank="1" errorTitle="Invalid result" error="Pick one of: Pass, Fail, Blocked, Skipped" promptTitle="Result" prompt="Pass / Fail / Blocked / Skipped" type="list">
      <formula1>"Pass,Fail,Blocked,Skipped"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50" customWidth="1" min="4" max="4"/>
    <col width="38" customWidth="1" min="5" max="5"/>
    <col width="12" customWidth="1" min="6" max="6"/>
    <col width="16" customWidth="1" min="7" max="7"/>
    <col width="14" customWidth="1" min="8" max="8"/>
    <col width="38" customWidth="1" min="9" max="9"/>
  </cols>
  <sheetData>
    <row r="1" ht="28" customHeight="1">
      <c r="A1" s="8" t="inlineStr">
        <is>
          <t>ADMIN TEST CREDENTIALS — Email: [your admin email here]   |   Password: [your password]</t>
        </is>
      </c>
    </row>
    <row r="2" ht="32" customHeight="1">
      <c r="A2" s="5" t="inlineStr">
        <is>
          <t>ID</t>
        </is>
      </c>
      <c r="B2" s="5" t="inlineStr">
        <is>
          <t>Category</t>
        </is>
      </c>
      <c r="C2" s="5" t="inlineStr">
        <is>
          <t>Test scenario</t>
        </is>
      </c>
      <c r="D2" s="5" t="inlineStr">
        <is>
          <t>Steps</t>
        </is>
      </c>
      <c r="E2" s="5" t="inlineStr">
        <is>
          <t>Expected result</t>
        </is>
      </c>
      <c r="F2" s="5" t="inlineStr">
        <is>
          <t>Result</t>
        </is>
      </c>
      <c r="G2" s="5" t="inlineStr">
        <is>
          <t>Tested by</t>
        </is>
      </c>
      <c r="H2" s="5" t="inlineStr">
        <is>
          <t>Date</t>
        </is>
      </c>
      <c r="I2" s="5" t="inlineStr">
        <is>
          <t>Comments</t>
        </is>
      </c>
    </row>
    <row r="3" ht="60" customHeight="1">
      <c r="A3" s="6" t="inlineStr">
        <is>
          <t>ADM-001</t>
        </is>
      </c>
      <c r="B3" s="6" t="inlineStr">
        <is>
          <t>Login</t>
        </is>
      </c>
      <c r="C3" s="6" t="inlineStr">
        <is>
          <t>Admin can log in</t>
        </is>
      </c>
      <c r="D3" s="6" t="inlineStr">
        <is>
          <t>1. Use admin credentials
2. Click Sign in</t>
        </is>
      </c>
      <c r="E3" s="6" t="inlineStr">
        <is>
          <t>Dashboard loads; sidebar shows admin section (Users, Classes, Stories, Content, Analytics)</t>
        </is>
      </c>
      <c r="F3" s="6" t="inlineStr"/>
      <c r="G3" s="6" t="inlineStr"/>
      <c r="H3" s="6" t="inlineStr"/>
      <c r="I3" s="6" t="inlineStr"/>
    </row>
    <row r="4" ht="60" customHeight="1">
      <c r="A4" s="7" t="inlineStr">
        <is>
          <t>ADM-002</t>
        </is>
      </c>
      <c r="B4" s="7" t="inlineStr">
        <is>
          <t>Dashboard</t>
        </is>
      </c>
      <c r="C4" s="7" t="inlineStr">
        <is>
          <t>Dashboard stats</t>
        </is>
      </c>
      <c r="D4" s="7" t="inlineStr">
        <is>
          <t>1. Look at admin dashboard stat cards</t>
        </is>
      </c>
      <c r="E4" s="7" t="inlineStr">
        <is>
          <t>Numbers shown: students, teachers, classes, sessions</t>
        </is>
      </c>
      <c r="F4" s="7" t="inlineStr"/>
      <c r="G4" s="7" t="inlineStr"/>
      <c r="H4" s="7" t="inlineStr"/>
      <c r="I4" s="7" t="inlineStr"/>
    </row>
    <row r="5" ht="60" customHeight="1">
      <c r="A5" s="6" t="inlineStr">
        <is>
          <t>ADM-003</t>
        </is>
      </c>
      <c r="B5" s="6" t="inlineStr">
        <is>
          <t>Users</t>
        </is>
      </c>
      <c r="C5" s="6" t="inlineStr">
        <is>
          <t>Users list loads</t>
        </is>
      </c>
      <c r="D5" s="6" t="inlineStr">
        <is>
          <t>1. Click 'Users' in admin sidebar</t>
        </is>
      </c>
      <c r="E5" s="6" t="inlineStr">
        <is>
          <t>List of all users with names, emails, roles, approval status</t>
        </is>
      </c>
      <c r="F5" s="6" t="inlineStr"/>
      <c r="G5" s="6" t="inlineStr"/>
      <c r="H5" s="6" t="inlineStr"/>
      <c r="I5" s="6" t="inlineStr"/>
    </row>
    <row r="6" ht="60" customHeight="1">
      <c r="A6" s="7" t="inlineStr">
        <is>
          <t>ADM-004</t>
        </is>
      </c>
      <c r="B6" s="7" t="inlineStr">
        <is>
          <t>Users</t>
        </is>
      </c>
      <c r="C6" s="7" t="inlineStr">
        <is>
          <t>Filter pending users</t>
        </is>
      </c>
      <c r="D6" s="7" t="inlineStr">
        <is>
          <t>1. Click pending filter (or look at top of list)</t>
        </is>
      </c>
      <c r="E6" s="7" t="inlineStr">
        <is>
          <t>Only unapproved registrations shown</t>
        </is>
      </c>
      <c r="F6" s="7" t="inlineStr"/>
      <c r="G6" s="7" t="inlineStr"/>
      <c r="H6" s="7" t="inlineStr"/>
      <c r="I6" s="7" t="inlineStr"/>
    </row>
    <row r="7" ht="60" customHeight="1">
      <c r="A7" s="6" t="inlineStr">
        <is>
          <t>ADM-005</t>
        </is>
      </c>
      <c r="B7" s="6" t="inlineStr">
        <is>
          <t>Users</t>
        </is>
      </c>
      <c r="C7" s="6" t="inlineStr">
        <is>
          <t>Approve a pending user</t>
        </is>
      </c>
      <c r="D7" s="6" t="inlineStr">
        <is>
          <t>1. Find a pending user
2. Click Approve</t>
        </is>
      </c>
      <c r="E7" s="6" t="inlineStr">
        <is>
          <t>User status flips to approved; they can immediately log in</t>
        </is>
      </c>
      <c r="F7" s="6" t="inlineStr"/>
      <c r="G7" s="6" t="inlineStr"/>
      <c r="H7" s="6" t="inlineStr"/>
      <c r="I7" s="6" t="inlineStr"/>
    </row>
    <row r="8" ht="60" customHeight="1">
      <c r="A8" s="7" t="inlineStr">
        <is>
          <t>ADM-006</t>
        </is>
      </c>
      <c r="B8" s="7" t="inlineStr">
        <is>
          <t>Users</t>
        </is>
      </c>
      <c r="C8" s="7" t="inlineStr">
        <is>
          <t>Reject a pending user</t>
        </is>
      </c>
      <c r="D8" s="7" t="inlineStr">
        <is>
          <t>1. Find a pending user
2. Click Reject</t>
        </is>
      </c>
      <c r="E8" s="7" t="inlineStr">
        <is>
          <t>Account is deleted; cannot log in anymore</t>
        </is>
      </c>
      <c r="F8" s="7" t="inlineStr"/>
      <c r="G8" s="7" t="inlineStr"/>
      <c r="H8" s="7" t="inlineStr"/>
      <c r="I8" s="7" t="inlineStr"/>
    </row>
    <row r="9" ht="60" customHeight="1">
      <c r="A9" s="6" t="inlineStr">
        <is>
          <t>ADM-007</t>
        </is>
      </c>
      <c r="B9" s="6" t="inlineStr">
        <is>
          <t>Classes</t>
        </is>
      </c>
      <c r="C9" s="6" t="inlineStr">
        <is>
          <t>Classes list loads</t>
        </is>
      </c>
      <c r="D9" s="6" t="inlineStr">
        <is>
          <t>1. Click 'Classes' in admin sidebar</t>
        </is>
      </c>
      <c r="E9" s="6" t="inlineStr">
        <is>
          <t>All classes listed (active + archived)</t>
        </is>
      </c>
      <c r="F9" s="6" t="inlineStr"/>
      <c r="G9" s="6" t="inlineStr"/>
      <c r="H9" s="6" t="inlineStr"/>
      <c r="I9" s="6" t="inlineStr"/>
    </row>
    <row r="10" ht="60" customHeight="1">
      <c r="A10" s="7" t="inlineStr">
        <is>
          <t>ADM-008</t>
        </is>
      </c>
      <c r="B10" s="7" t="inlineStr">
        <is>
          <t>Classes</t>
        </is>
      </c>
      <c r="C10" s="7" t="inlineStr">
        <is>
          <t>Create a new class</t>
        </is>
      </c>
      <c r="D10" s="7" t="inlineStr">
        <is>
          <t>1. Click 'Create class'
2. Fill name, teacher, schedule, language, max students
3. Save</t>
        </is>
      </c>
      <c r="E10" s="7" t="inlineStr">
        <is>
          <t>New class appears in list AND in public catalog</t>
        </is>
      </c>
      <c r="F10" s="7" t="inlineStr"/>
      <c r="G10" s="7" t="inlineStr"/>
      <c r="H10" s="7" t="inlineStr"/>
      <c r="I10" s="7" t="inlineStr"/>
    </row>
    <row r="11" ht="60" customHeight="1">
      <c r="A11" s="6" t="inlineStr">
        <is>
          <t>ADM-009</t>
        </is>
      </c>
      <c r="B11" s="6" t="inlineStr">
        <is>
          <t>Classes</t>
        </is>
      </c>
      <c r="C11" s="6" t="inlineStr">
        <is>
          <t>Edit a class</t>
        </is>
      </c>
      <c r="D11" s="6" t="inlineStr">
        <is>
          <t>1. Click on a class
2. Edit description
3. Save</t>
        </is>
      </c>
      <c r="E11" s="6" t="inlineStr">
        <is>
          <t>Changes saved; visible on next view</t>
        </is>
      </c>
      <c r="F11" s="6" t="inlineStr"/>
      <c r="G11" s="6" t="inlineStr"/>
      <c r="H11" s="6" t="inlineStr"/>
      <c r="I11" s="6" t="inlineStr"/>
    </row>
    <row r="12" ht="60" customHeight="1">
      <c r="A12" s="7" t="inlineStr">
        <is>
          <t>ADM-010</t>
        </is>
      </c>
      <c r="B12" s="7" t="inlineStr">
        <is>
          <t>Classes</t>
        </is>
      </c>
      <c r="C12" s="7" t="inlineStr">
        <is>
          <t>Archive a class</t>
        </is>
      </c>
      <c r="D12" s="7" t="inlineStr">
        <is>
          <t>1. Click Archive on an active class</t>
        </is>
      </c>
      <c r="E12" s="7" t="inlineStr">
        <is>
          <t>Status changes to ARCHIVED; class disappears from public catalog</t>
        </is>
      </c>
      <c r="F12" s="7" t="inlineStr"/>
      <c r="G12" s="7" t="inlineStr"/>
      <c r="H12" s="7" t="inlineStr"/>
      <c r="I12" s="7" t="inlineStr"/>
    </row>
    <row r="13" ht="60" customHeight="1">
      <c r="A13" s="6" t="inlineStr">
        <is>
          <t>ADM-011</t>
        </is>
      </c>
      <c r="B13" s="6" t="inlineStr">
        <is>
          <t>Classes</t>
        </is>
      </c>
      <c r="C13" s="6" t="inlineStr">
        <is>
          <t>Run scheduler</t>
        </is>
      </c>
      <c r="D13" s="6" t="inlineStr">
        <is>
          <t>1. Click 'Run scheduler' in Quick Actions</t>
        </is>
      </c>
      <c r="E13" s="6" t="inlineStr">
        <is>
          <t>Sessions are created for upcoming weeks; success message shown</t>
        </is>
      </c>
      <c r="F13" s="6" t="inlineStr"/>
      <c r="G13" s="6" t="inlineStr"/>
      <c r="H13" s="6" t="inlineStr"/>
      <c r="I13" s="6" t="inlineStr"/>
    </row>
    <row r="14" ht="60" customHeight="1">
      <c r="A14" s="7" t="inlineStr">
        <is>
          <t>ADM-012</t>
        </is>
      </c>
      <c r="B14" s="7" t="inlineStr">
        <is>
          <t>Classes</t>
        </is>
      </c>
      <c r="C14" s="7" t="inlineStr">
        <is>
          <t>Run reminders</t>
        </is>
      </c>
      <c r="D14" s="7" t="inlineStr">
        <is>
          <t>1. Click 'Run reminders'</t>
        </is>
      </c>
      <c r="E14" s="7" t="inlineStr">
        <is>
          <t>Reminders dispatched (or 'no reminders due' message)</t>
        </is>
      </c>
      <c r="F14" s="7" t="inlineStr"/>
      <c r="G14" s="7" t="inlineStr"/>
      <c r="H14" s="7" t="inlineStr"/>
      <c r="I14" s="7" t="inlineStr"/>
    </row>
    <row r="15" ht="60" customHeight="1">
      <c r="A15" s="6" t="inlineStr">
        <is>
          <t>ADM-013</t>
        </is>
      </c>
      <c r="B15" s="6" t="inlineStr">
        <is>
          <t>Teachers</t>
        </is>
      </c>
      <c r="C15" s="6" t="inlineStr">
        <is>
          <t>Teachers directory loads</t>
        </is>
      </c>
      <c r="D15" s="6" t="inlineStr">
        <is>
          <t>1. Click 'Teachers' in admin sidebar</t>
        </is>
      </c>
      <c r="E15" s="6" t="inlineStr">
        <is>
          <t>Directory with availability, assigned classes per teacher</t>
        </is>
      </c>
      <c r="F15" s="6" t="inlineStr"/>
      <c r="G15" s="6" t="inlineStr"/>
      <c r="H15" s="6" t="inlineStr"/>
      <c r="I15" s="6" t="inlineStr"/>
    </row>
    <row r="16" ht="60" customHeight="1">
      <c r="A16" s="7" t="inlineStr">
        <is>
          <t>ADM-014</t>
        </is>
      </c>
      <c r="B16" s="7" t="inlineStr">
        <is>
          <t>Stories Moderation</t>
        </is>
      </c>
      <c r="C16" s="7" t="inlineStr">
        <is>
          <t>Pending stories list</t>
        </is>
      </c>
      <c r="D16" s="7" t="inlineStr">
        <is>
          <t>1. Click 'Stories' or 'Posts' in admin sidebar</t>
        </is>
      </c>
      <c r="E16" s="7" t="inlineStr">
        <is>
          <t>List of stories awaiting review</t>
        </is>
      </c>
      <c r="F16" s="7" t="inlineStr"/>
      <c r="G16" s="7" t="inlineStr"/>
      <c r="H16" s="7" t="inlineStr"/>
      <c r="I16" s="7" t="inlineStr"/>
    </row>
    <row r="17" ht="60" customHeight="1">
      <c r="A17" s="6" t="inlineStr">
        <is>
          <t>ADM-015</t>
        </is>
      </c>
      <c r="B17" s="6" t="inlineStr">
        <is>
          <t>Stories Moderation</t>
        </is>
      </c>
      <c r="C17" s="6" t="inlineStr">
        <is>
          <t>Approve a pending story</t>
        </is>
      </c>
      <c r="D17" s="6" t="inlineStr">
        <is>
          <t>1. Click on a pending story
2. Read it
3. Click Approve</t>
        </is>
      </c>
      <c r="E17" s="6" t="inlineStr">
        <is>
          <t>Story is published; visible on public /stories listing</t>
        </is>
      </c>
      <c r="F17" s="6" t="inlineStr"/>
      <c r="G17" s="6" t="inlineStr"/>
      <c r="H17" s="6" t="inlineStr"/>
      <c r="I17" s="6" t="inlineStr"/>
    </row>
    <row r="18" ht="60" customHeight="1">
      <c r="A18" s="7" t="inlineStr">
        <is>
          <t>ADM-016</t>
        </is>
      </c>
      <c r="B18" s="7" t="inlineStr">
        <is>
          <t>Stories Moderation</t>
        </is>
      </c>
      <c r="C18" s="7" t="inlineStr">
        <is>
          <t>Reject a story with notes</t>
        </is>
      </c>
      <c r="D18" s="7" t="inlineStr">
        <is>
          <t>1. Click on a pending story
2. Click Reject
3. Enter feedback notes
4. Submit</t>
        </is>
      </c>
      <c r="E18" s="7" t="inlineStr">
        <is>
          <t>Story marked rejected; student sees the notes when they edit it</t>
        </is>
      </c>
      <c r="F18" s="7" t="inlineStr"/>
      <c r="G18" s="7" t="inlineStr"/>
      <c r="H18" s="7" t="inlineStr"/>
      <c r="I18" s="7" t="inlineStr"/>
    </row>
    <row r="19" ht="60" customHeight="1">
      <c r="A19" s="6" t="inlineStr">
        <is>
          <t>ADM-017</t>
        </is>
      </c>
      <c r="B19" s="6" t="inlineStr">
        <is>
          <t>Stories Moderation</t>
        </is>
      </c>
      <c r="C19" s="6" t="inlineStr">
        <is>
          <t>Feature a published story</t>
        </is>
      </c>
      <c r="D19" s="6" t="inlineStr">
        <is>
          <t>1. Go to Published tab
2. Toggle Featured on a story</t>
        </is>
      </c>
      <c r="E19" s="6" t="inlineStr">
        <is>
          <t>Story now appears in 'Featured' section on landing page</t>
        </is>
      </c>
      <c r="F19" s="6" t="inlineStr"/>
      <c r="G19" s="6" t="inlineStr"/>
      <c r="H19" s="6" t="inlineStr"/>
      <c r="I19" s="6" t="inlineStr"/>
    </row>
    <row r="20" ht="60" customHeight="1">
      <c r="A20" s="7" t="inlineStr">
        <is>
          <t>ADM-018</t>
        </is>
      </c>
      <c r="B20" s="7" t="inlineStr">
        <is>
          <t>Content</t>
        </is>
      </c>
      <c r="C20" s="7" t="inlineStr">
        <is>
          <t>Webinar create</t>
        </is>
      </c>
      <c r="D20" s="7" t="inlineStr">
        <is>
          <t>1. Admin → Content → Webinars tab
2. Click Create
3. Fill title, datetime, Meet link
4. Save</t>
        </is>
      </c>
      <c r="E20" s="7" t="inlineStr">
        <is>
          <t>Webinar appears on public /webinars page</t>
        </is>
      </c>
      <c r="F20" s="7" t="inlineStr"/>
      <c r="G20" s="7" t="inlineStr"/>
      <c r="H20" s="7" t="inlineStr"/>
      <c r="I20" s="7" t="inlineStr"/>
    </row>
    <row r="21" ht="60" customHeight="1">
      <c r="A21" s="6" t="inlineStr">
        <is>
          <t>ADM-019</t>
        </is>
      </c>
      <c r="B21" s="6" t="inlineStr">
        <is>
          <t>Content</t>
        </is>
      </c>
      <c r="C21" s="6" t="inlineStr">
        <is>
          <t>Opportunity create</t>
        </is>
      </c>
      <c r="D21" s="6" t="inlineStr">
        <is>
          <t>1. Admin → Content → Opportunities tab
2. Click Create
3. Fill title, type, deadline, URL
4. Save</t>
        </is>
      </c>
      <c r="E21" s="6" t="inlineStr">
        <is>
          <t>Opportunity appears on public /opportunities page</t>
        </is>
      </c>
      <c r="F21" s="6" t="inlineStr"/>
      <c r="G21" s="6" t="inlineStr"/>
      <c r="H21" s="6" t="inlineStr"/>
      <c r="I21" s="6" t="inlineStr"/>
    </row>
    <row r="22" ht="60" customHeight="1">
      <c r="A22" s="7" t="inlineStr">
        <is>
          <t>ADM-020</t>
        </is>
      </c>
      <c r="B22" s="7" t="inlineStr">
        <is>
          <t>Content</t>
        </is>
      </c>
      <c r="C22" s="7" t="inlineStr">
        <is>
          <t>Library upload</t>
        </is>
      </c>
      <c r="D22" s="7" t="inlineStr">
        <is>
          <t>1. Admin → Content → Library tab
2. Click Upload
3. Choose a small PDF (under 5MB)
4. Add title, author, category
5. Submit</t>
        </is>
      </c>
      <c r="E22" s="7" t="inlineStr">
        <is>
          <t>Resource appears in /library; downloadable</t>
        </is>
      </c>
      <c r="F22" s="7" t="inlineStr"/>
      <c r="G22" s="7" t="inlineStr"/>
      <c r="H22" s="7" t="inlineStr"/>
      <c r="I22" s="7" t="inlineStr"/>
    </row>
    <row r="23" ht="60" customHeight="1">
      <c r="A23" s="6" t="inlineStr">
        <is>
          <t>ADM-021</t>
        </is>
      </c>
      <c r="B23" s="6" t="inlineStr">
        <is>
          <t>Content</t>
        </is>
      </c>
      <c r="C23" s="6" t="inlineStr">
        <is>
          <t>Library file size limit</t>
        </is>
      </c>
      <c r="D23" s="6" t="inlineStr">
        <is>
          <t>1. Try to upload a PDF larger than 5MB</t>
        </is>
      </c>
      <c r="E23" s="6" t="inlineStr">
        <is>
          <t>Error: file too large</t>
        </is>
      </c>
      <c r="F23" s="6" t="inlineStr"/>
      <c r="G23" s="6" t="inlineStr"/>
      <c r="H23" s="6" t="inlineStr"/>
      <c r="I23" s="6" t="inlineStr"/>
    </row>
    <row r="24" ht="60" customHeight="1">
      <c r="A24" s="7" t="inlineStr">
        <is>
          <t>ADM-022</t>
        </is>
      </c>
      <c r="B24" s="7" t="inlineStr">
        <is>
          <t>Analytics</t>
        </is>
      </c>
      <c r="C24" s="7" t="inlineStr">
        <is>
          <t>Analytics page loads</t>
        </is>
      </c>
      <c r="D24" s="7" t="inlineStr">
        <is>
          <t>1. Click 'Analytics' in sidebar</t>
        </is>
      </c>
      <c r="E24" s="7" t="inlineStr">
        <is>
          <t>Charts: user growth, class enrollment, AI question volume</t>
        </is>
      </c>
      <c r="F24" s="7" t="inlineStr"/>
      <c r="G24" s="7" t="inlineStr"/>
      <c r="H24" s="7" t="inlineStr"/>
      <c r="I24" s="7" t="inlineStr"/>
    </row>
    <row r="25" ht="60" customHeight="1">
      <c r="A25" s="6" t="inlineStr">
        <is>
          <t>ADM-023</t>
        </is>
      </c>
      <c r="B25" s="6" t="inlineStr">
        <is>
          <t>Sidebar</t>
        </is>
      </c>
      <c r="C25" s="6" t="inlineStr">
        <is>
          <t>All admin sidebar links work</t>
        </is>
      </c>
      <c r="D25" s="6" t="inlineStr">
        <is>
          <t>1. Click every link in the admin sidebar one by one</t>
        </is>
      </c>
      <c r="E25" s="6" t="inlineStr">
        <is>
          <t>Each page loads without error</t>
        </is>
      </c>
      <c r="F25" s="6" t="inlineStr"/>
      <c r="G25" s="6" t="inlineStr"/>
      <c r="H25" s="6" t="inlineStr"/>
      <c r="I25" s="6" t="inlineStr"/>
    </row>
    <row r="26" ht="60" customHeight="1">
      <c r="A26" s="7" t="inlineStr">
        <is>
          <t>ADM-024</t>
        </is>
      </c>
      <c r="B26" s="7" t="inlineStr">
        <is>
          <t>Permissions</t>
        </is>
      </c>
      <c r="C26" s="7" t="inlineStr">
        <is>
          <t>Admin sees admin pages</t>
        </is>
      </c>
      <c r="D26" s="7" t="inlineStr">
        <is>
          <t>1. As admin, navigate to /admin/users, /admin/classes, /admin/posts, /admin/content, /admin/analytics</t>
        </is>
      </c>
      <c r="E26" s="7" t="inlineStr">
        <is>
          <t>All pages load successfully (no 403 or redirect)</t>
        </is>
      </c>
      <c r="F26" s="7" t="inlineStr"/>
      <c r="G26" s="7" t="inlineStr"/>
      <c r="H26" s="7" t="inlineStr"/>
      <c r="I26" s="7" t="inlineStr"/>
    </row>
  </sheetData>
  <autoFilter ref="A2:I26"/>
  <mergeCells count="1">
    <mergeCell ref="A1:I1"/>
  </mergeCells>
  <conditionalFormatting sqref="F3:F2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F3:F26" showDropDown="0" showInputMessage="0" showErrorMessage="0" allowBlank="1" errorTitle="Invalid result" error="Pick one of: Pass, Fail, Blocked, Skipped" promptTitle="Result" prompt="Pass / Fail / Blocked / Skipped" type="list">
      <formula1>"Pass,Fail,Blocked,Skipped"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50" customWidth="1" min="4" max="4"/>
    <col width="38" customWidth="1" min="5" max="5"/>
    <col width="12" customWidth="1" min="6" max="6"/>
    <col width="16" customWidth="1" min="7" max="7"/>
    <col width="14" customWidth="1" min="8" max="8"/>
    <col width="38" customWidth="1" min="9" max="9"/>
  </cols>
  <sheetData>
    <row r="1" ht="32" customHeight="1">
      <c r="A1" s="5" t="inlineStr">
        <is>
          <t>ID</t>
        </is>
      </c>
      <c r="B1" s="5" t="inlineStr">
        <is>
          <t>Category</t>
        </is>
      </c>
      <c r="C1" s="5" t="inlineStr">
        <is>
          <t>Test scenario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Result</t>
        </is>
      </c>
      <c r="G1" s="5" t="inlineStr">
        <is>
          <t>Tested by</t>
        </is>
      </c>
      <c r="H1" s="5" t="inlineStr">
        <is>
          <t>Date</t>
        </is>
      </c>
      <c r="I1" s="5" t="inlineStr">
        <is>
          <t>Comments</t>
        </is>
      </c>
    </row>
    <row r="2" ht="60" customHeight="1">
      <c r="A2" s="6" t="inlineStr">
        <is>
          <t>SEC-001</t>
        </is>
      </c>
      <c r="B2" s="6" t="inlineStr">
        <is>
          <t>Auth</t>
        </is>
      </c>
      <c r="C2" s="6" t="inlineStr">
        <is>
          <t>Protected pages redirect when logged out</t>
        </is>
      </c>
      <c r="D2" s="6" t="inlineStr">
        <is>
          <t>1. Log out
2. Try to go to /dashboard directly</t>
        </is>
      </c>
      <c r="E2" s="6" t="inlineStr">
        <is>
          <t>Redirected to /login</t>
        </is>
      </c>
      <c r="F2" s="6" t="inlineStr"/>
      <c r="G2" s="6" t="inlineStr"/>
      <c r="H2" s="6" t="inlineStr"/>
      <c r="I2" s="6" t="inlineStr"/>
    </row>
    <row r="3" ht="60" customHeight="1">
      <c r="A3" s="7" t="inlineStr">
        <is>
          <t>SEC-002</t>
        </is>
      </c>
      <c r="B3" s="7" t="inlineStr">
        <is>
          <t>Auth</t>
        </is>
      </c>
      <c r="C3" s="7" t="inlineStr">
        <is>
          <t>Cannot access admin as student</t>
        </is>
      </c>
      <c r="D3" s="7" t="inlineStr">
        <is>
          <t>1. Log in as student
2. Try to navigate to /admin/users in browser address bar</t>
        </is>
      </c>
      <c r="E3" s="7" t="inlineStr">
        <is>
          <t>Redirected or 'access denied' message</t>
        </is>
      </c>
      <c r="F3" s="7" t="inlineStr"/>
      <c r="G3" s="7" t="inlineStr"/>
      <c r="H3" s="7" t="inlineStr"/>
      <c r="I3" s="7" t="inlineStr"/>
    </row>
    <row r="4" ht="60" customHeight="1">
      <c r="A4" s="6" t="inlineStr">
        <is>
          <t>SEC-003</t>
        </is>
      </c>
      <c r="B4" s="6" t="inlineStr">
        <is>
          <t>Auth</t>
        </is>
      </c>
      <c r="C4" s="6" t="inlineStr">
        <is>
          <t>Cannot access admin as teacher</t>
        </is>
      </c>
      <c r="D4" s="6" t="inlineStr">
        <is>
          <t>1. Log in as teacher
2. Try to go to /admin/users</t>
        </is>
      </c>
      <c r="E4" s="6" t="inlineStr">
        <is>
          <t>Redirected or 'access denied'</t>
        </is>
      </c>
      <c r="F4" s="6" t="inlineStr"/>
      <c r="G4" s="6" t="inlineStr"/>
      <c r="H4" s="6" t="inlineStr"/>
      <c r="I4" s="6" t="inlineStr"/>
    </row>
    <row r="5" ht="60" customHeight="1">
      <c r="A5" s="7" t="inlineStr">
        <is>
          <t>SEC-004</t>
        </is>
      </c>
      <c r="B5" s="7" t="inlineStr">
        <is>
          <t>Auth</t>
        </is>
      </c>
      <c r="C5" s="7" t="inlineStr">
        <is>
          <t>Cannot access teacher pages as student</t>
        </is>
      </c>
      <c r="D5" s="7" t="inlineStr">
        <is>
          <t>1. As student, try /teacher/availability</t>
        </is>
      </c>
      <c r="E5" s="7" t="inlineStr">
        <is>
          <t>Access denied or redirected</t>
        </is>
      </c>
      <c r="F5" s="7" t="inlineStr"/>
      <c r="G5" s="7" t="inlineStr"/>
      <c r="H5" s="7" t="inlineStr"/>
      <c r="I5" s="7" t="inlineStr"/>
    </row>
    <row r="6" ht="60" customHeight="1">
      <c r="A6" s="6" t="inlineStr">
        <is>
          <t>SEC-005</t>
        </is>
      </c>
      <c r="B6" s="6" t="inlineStr">
        <is>
          <t>Data isolation</t>
        </is>
      </c>
      <c r="C6" s="6" t="inlineStr">
        <is>
          <t>Meet link hidden pre-enroll</t>
        </is>
      </c>
      <c r="D6" s="6" t="inlineStr">
        <is>
          <t>1. As student, view a class you have NOT enrolled in</t>
        </is>
      </c>
      <c r="E6" s="6" t="inlineStr">
        <is>
          <t>No Google Meet link is visible anywhere on the page</t>
        </is>
      </c>
      <c r="F6" s="6" t="inlineStr"/>
      <c r="G6" s="6" t="inlineStr"/>
      <c r="H6" s="6" t="inlineStr"/>
      <c r="I6" s="6" t="inlineStr"/>
    </row>
    <row r="7" ht="60" customHeight="1">
      <c r="A7" s="7" t="inlineStr">
        <is>
          <t>SEC-006</t>
        </is>
      </c>
      <c r="B7" s="7" t="inlineStr">
        <is>
          <t>Data isolation</t>
        </is>
      </c>
      <c r="C7" s="7" t="inlineStr">
        <is>
          <t>Cannot view other students' notes</t>
        </is>
      </c>
      <c r="D7" s="7" t="inlineStr">
        <is>
          <t>1. As student A, take notes in a session
2. Log in as student B in the same class
3. Open the same session</t>
        </is>
      </c>
      <c r="E7" s="7" t="inlineStr">
        <is>
          <t>Student B sees their own notes (or empty), NOT student A's notes</t>
        </is>
      </c>
      <c r="F7" s="7" t="inlineStr"/>
      <c r="G7" s="7" t="inlineStr"/>
      <c r="H7" s="7" t="inlineStr"/>
      <c r="I7" s="7" t="inlineStr"/>
    </row>
    <row r="8" ht="60" customHeight="1">
      <c r="A8" s="6" t="inlineStr">
        <is>
          <t>SEC-007</t>
        </is>
      </c>
      <c r="B8" s="6" t="inlineStr">
        <is>
          <t>Data isolation</t>
        </is>
      </c>
      <c r="C8" s="6" t="inlineStr">
        <is>
          <t>Cannot edit another user's password</t>
        </is>
      </c>
      <c r="D8" s="6" t="inlineStr">
        <is>
          <t>1. While logged in as student A, try to change student B's password somehow</t>
        </is>
      </c>
      <c r="E8" s="6" t="inlineStr">
        <is>
          <t>There is no UI for this; if attempted via API directly, returns 401/403</t>
        </is>
      </c>
      <c r="F8" s="6" t="inlineStr"/>
      <c r="G8" s="6" t="inlineStr"/>
      <c r="H8" s="6" t="inlineStr"/>
      <c r="I8" s="6" t="inlineStr"/>
    </row>
    <row r="9" ht="60" customHeight="1">
      <c r="A9" s="7" t="inlineStr">
        <is>
          <t>SEC-008</t>
        </is>
      </c>
      <c r="B9" s="7" t="inlineStr">
        <is>
          <t>XSS</t>
        </is>
      </c>
      <c r="C9" s="7" t="inlineStr">
        <is>
          <t>Script tag in name field stripped</t>
        </is>
      </c>
      <c r="D9" s="7" t="inlineStr">
        <is>
          <t>1. Try to register with name: &lt;script&gt;alert(1)&lt;/script&gt;
2. Submit</t>
        </is>
      </c>
      <c r="E9" s="7" t="inlineStr">
        <is>
          <t>Either rejected outright OR HTML is stripped (no alert popup ever appears)</t>
        </is>
      </c>
      <c r="F9" s="7" t="inlineStr"/>
      <c r="G9" s="7" t="inlineStr"/>
      <c r="H9" s="7" t="inlineStr"/>
      <c r="I9" s="7" t="inlineStr"/>
    </row>
    <row r="10" ht="60" customHeight="1">
      <c r="A10" s="6" t="inlineStr">
        <is>
          <t>SEC-009</t>
        </is>
      </c>
      <c r="B10" s="6" t="inlineStr">
        <is>
          <t>XSS</t>
        </is>
      </c>
      <c r="C10" s="6" t="inlineStr">
        <is>
          <t>Script in story title stripped</t>
        </is>
      </c>
      <c r="D10" s="6" t="inlineStr">
        <is>
          <t>1. As student, write a story with title containing &lt;script&gt;...
2. Submit</t>
        </is>
      </c>
      <c r="E10" s="6" t="inlineStr">
        <is>
          <t>Title is stripped of HTML before saving</t>
        </is>
      </c>
      <c r="F10" s="6" t="inlineStr"/>
      <c r="G10" s="6" t="inlineStr"/>
      <c r="H10" s="6" t="inlineStr"/>
      <c r="I10" s="6" t="inlineStr"/>
    </row>
    <row r="11" ht="60" customHeight="1">
      <c r="A11" s="7" t="inlineStr">
        <is>
          <t>SEC-010</t>
        </is>
      </c>
      <c r="B11" s="7" t="inlineStr">
        <is>
          <t>Brute force</t>
        </is>
      </c>
      <c r="C11" s="7" t="inlineStr">
        <is>
          <t>Login rate limit</t>
        </is>
      </c>
      <c r="D11" s="7" t="inlineStr">
        <is>
          <t>1. Try wrong password 6+ times in a row quickly</t>
        </is>
      </c>
      <c r="E11" s="7" t="inlineStr">
        <is>
          <t>After 5 attempts, login starts failing even with correct password (rate-limited for 15 min)</t>
        </is>
      </c>
      <c r="F11" s="7" t="inlineStr"/>
      <c r="G11" s="7" t="inlineStr"/>
      <c r="H11" s="7" t="inlineStr"/>
      <c r="I11" s="7" t="inlineStr"/>
    </row>
    <row r="12" ht="60" customHeight="1">
      <c r="A12" s="6" t="inlineStr">
        <is>
          <t>SEC-011</t>
        </is>
      </c>
      <c r="B12" s="6" t="inlineStr">
        <is>
          <t>Session</t>
        </is>
      </c>
      <c r="C12" s="6" t="inlineStr">
        <is>
          <t>Session expires</t>
        </is>
      </c>
      <c r="D12" s="6" t="inlineStr">
        <is>
          <t>1. Log in
2. Wait 30+ minutes idle
3. Try an action</t>
        </is>
      </c>
      <c r="E12" s="6" t="inlineStr">
        <is>
          <t>Redirected to login (JWT expired)</t>
        </is>
      </c>
      <c r="F12" s="6" t="inlineStr"/>
      <c r="G12" s="6" t="inlineStr"/>
      <c r="H12" s="6" t="inlineStr"/>
      <c r="I12" s="6" t="inlineStr"/>
    </row>
    <row r="13" ht="60" customHeight="1">
      <c r="A13" s="7" t="inlineStr">
        <is>
          <t>SEC-012</t>
        </is>
      </c>
      <c r="B13" s="7" t="inlineStr">
        <is>
          <t>Session</t>
        </is>
      </c>
      <c r="C13" s="7" t="inlineStr">
        <is>
          <t>Logout invalidates session</t>
        </is>
      </c>
      <c r="D13" s="7" t="inlineStr">
        <is>
          <t>1. Log in
2. Click sign out
3. Press browser back button</t>
        </is>
      </c>
      <c r="E13" s="7" t="inlineStr">
        <is>
          <t>Cannot access dashboard; redirected to login</t>
        </is>
      </c>
      <c r="F13" s="7" t="inlineStr"/>
      <c r="G13" s="7" t="inlineStr"/>
      <c r="H13" s="7" t="inlineStr"/>
      <c r="I13" s="7" t="inlineStr"/>
    </row>
    <row r="14" ht="60" customHeight="1">
      <c r="A14" s="6" t="inlineStr">
        <is>
          <t>SEC-013</t>
        </is>
      </c>
      <c r="B14" s="6" t="inlineStr">
        <is>
          <t>Approval gate</t>
        </is>
      </c>
      <c r="C14" s="6" t="inlineStr">
        <is>
          <t>Unapproved cannot access features</t>
        </is>
      </c>
      <c r="D14" s="6" t="inlineStr">
        <is>
          <t>1. Register a new student
2. Without admin approval, try to enroll in a class</t>
        </is>
      </c>
      <c r="E14" s="6" t="inlineStr">
        <is>
          <t>Blocked with 'pending approval' message</t>
        </is>
      </c>
      <c r="F14" s="6" t="inlineStr"/>
      <c r="G14" s="6" t="inlineStr"/>
      <c r="H14" s="6" t="inlineStr"/>
      <c r="I14" s="6" t="inlineStr"/>
    </row>
  </sheetData>
  <autoFilter ref="A1:I14"/>
  <conditionalFormatting sqref="F2:F1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F2:F14" showDropDown="0" showInputMessage="0" showErrorMessage="0" allowBlank="1" errorTitle="Invalid result" error="Pick one of: Pass, Fail, Blocked, Skipped" promptTitle="Result" prompt="Pass / Fail / Blocked / Skipped" type="list">
      <formula1>"Pass,Fail,Blocked,Skipped"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50" customWidth="1" min="4" max="4"/>
    <col width="38" customWidth="1" min="5" max="5"/>
    <col width="12" customWidth="1" min="6" max="6"/>
    <col width="16" customWidth="1" min="7" max="7"/>
    <col width="14" customWidth="1" min="8" max="8"/>
    <col width="38" customWidth="1" min="9" max="9"/>
  </cols>
  <sheetData>
    <row r="1" ht="32" customHeight="1">
      <c r="A1" s="5" t="inlineStr">
        <is>
          <t>ID</t>
        </is>
      </c>
      <c r="B1" s="5" t="inlineStr">
        <is>
          <t>Category</t>
        </is>
      </c>
      <c r="C1" s="5" t="inlineStr">
        <is>
          <t>Test scenario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Result</t>
        </is>
      </c>
      <c r="G1" s="5" t="inlineStr">
        <is>
          <t>Tested by</t>
        </is>
      </c>
      <c r="H1" s="5" t="inlineStr">
        <is>
          <t>Date</t>
        </is>
      </c>
      <c r="I1" s="5" t="inlineStr">
        <is>
          <t>Comments</t>
        </is>
      </c>
    </row>
    <row r="2" ht="60" customHeight="1">
      <c r="A2" s="6" t="inlineStr">
        <is>
          <t>VIS-001</t>
        </is>
      </c>
      <c r="B2" s="6" t="inlineStr">
        <is>
          <t>Dark theme</t>
        </is>
      </c>
      <c r="C2" s="6" t="inlineStr">
        <is>
          <t>No white backgrounds anywhere</t>
        </is>
      </c>
      <c r="D2" s="6" t="inlineStr">
        <is>
          <t>1. Navigate through every public + logged-in page</t>
        </is>
      </c>
      <c r="E2" s="6" t="inlineStr">
        <is>
          <t>Every page has dark background; no white or gray panels</t>
        </is>
      </c>
      <c r="F2" s="6" t="inlineStr"/>
      <c r="G2" s="6" t="inlineStr"/>
      <c r="H2" s="6" t="inlineStr"/>
      <c r="I2" s="6" t="inlineStr"/>
    </row>
    <row r="3" ht="60" customHeight="1">
      <c r="A3" s="7" t="inlineStr">
        <is>
          <t>VIS-002</t>
        </is>
      </c>
      <c r="B3" s="7" t="inlineStr">
        <is>
          <t>Dark theme</t>
        </is>
      </c>
      <c r="C3" s="7" t="inlineStr">
        <is>
          <t>All text readable</t>
        </is>
      </c>
      <c r="D3" s="7" t="inlineStr">
        <is>
          <t>1. Read text on every page</t>
        </is>
      </c>
      <c r="E3" s="7" t="inlineStr">
        <is>
          <t>Text is visible (not dark-on-dark or white-on-white)</t>
        </is>
      </c>
      <c r="F3" s="7" t="inlineStr"/>
      <c r="G3" s="7" t="inlineStr"/>
      <c r="H3" s="7" t="inlineStr"/>
      <c r="I3" s="7" t="inlineStr"/>
    </row>
    <row r="4" ht="60" customHeight="1">
      <c r="A4" s="6" t="inlineStr">
        <is>
          <t>VIS-003</t>
        </is>
      </c>
      <c r="B4" s="6" t="inlineStr">
        <is>
          <t>Dark theme</t>
        </is>
      </c>
      <c r="C4" s="6" t="inlineStr">
        <is>
          <t>Form inputs visible</t>
        </is>
      </c>
      <c r="D4" s="6" t="inlineStr">
        <is>
          <t>1. Open login, register, profile, password change forms</t>
        </is>
      </c>
      <c r="E4" s="6" t="inlineStr">
        <is>
          <t>Input fields have visible borders and contrasting text</t>
        </is>
      </c>
      <c r="F4" s="6" t="inlineStr"/>
      <c r="G4" s="6" t="inlineStr"/>
      <c r="H4" s="6" t="inlineStr"/>
      <c r="I4" s="6" t="inlineStr"/>
    </row>
    <row r="5" ht="60" customHeight="1">
      <c r="A5" s="7" t="inlineStr">
        <is>
          <t>VIS-004</t>
        </is>
      </c>
      <c r="B5" s="7" t="inlineStr">
        <is>
          <t>Dark theme</t>
        </is>
      </c>
      <c r="C5" s="7" t="inlineStr">
        <is>
          <t>Dashboard cards readable</t>
        </is>
      </c>
      <c r="D5" s="7" t="inlineStr">
        <is>
          <t>1. Open the dashboard</t>
        </is>
      </c>
      <c r="E5" s="7" t="inlineStr">
        <is>
          <t>All cards have visible borders, readable numbers, no invisible text</t>
        </is>
      </c>
      <c r="F5" s="7" t="inlineStr"/>
      <c r="G5" s="7" t="inlineStr"/>
      <c r="H5" s="7" t="inlineStr"/>
      <c r="I5" s="7" t="inlineStr"/>
    </row>
    <row r="6" ht="60" customHeight="1">
      <c r="A6" s="6" t="inlineStr">
        <is>
          <t>VIS-005</t>
        </is>
      </c>
      <c r="B6" s="6" t="inlineStr">
        <is>
          <t>Dark theme</t>
        </is>
      </c>
      <c r="C6" s="6" t="inlineStr">
        <is>
          <t>AI chat bubbles visible</t>
        </is>
      </c>
      <c r="D6" s="6" t="inlineStr">
        <is>
          <t>1. Open AI Tutor and ask a question</t>
        </is>
      </c>
      <c r="E6" s="6" t="inlineStr">
        <is>
          <t>Question and answer bubbles are clearly distinguishable; text readable</t>
        </is>
      </c>
      <c r="F6" s="6" t="inlineStr"/>
      <c r="G6" s="6" t="inlineStr"/>
      <c r="H6" s="6" t="inlineStr"/>
      <c r="I6" s="6" t="inlineStr"/>
    </row>
    <row r="7" ht="60" customHeight="1">
      <c r="A7" s="7" t="inlineStr">
        <is>
          <t>VIS-006</t>
        </is>
      </c>
      <c r="B7" s="7" t="inlineStr">
        <is>
          <t>Dark theme</t>
        </is>
      </c>
      <c r="C7" s="7" t="inlineStr">
        <is>
          <t>Modal dialogs styled</t>
        </is>
      </c>
      <c r="D7" s="7" t="inlineStr">
        <is>
          <t>1. Trigger any modal (e.g. confirm archive)</t>
        </is>
      </c>
      <c r="E7" s="7" t="inlineStr">
        <is>
          <t>Modal has dark background, contrasting buttons, readable text</t>
        </is>
      </c>
      <c r="F7" s="7" t="inlineStr"/>
      <c r="G7" s="7" t="inlineStr"/>
      <c r="H7" s="7" t="inlineStr"/>
      <c r="I7" s="7" t="inlineStr"/>
    </row>
    <row r="8" ht="60" customHeight="1">
      <c r="A8" s="6" t="inlineStr">
        <is>
          <t>VIS-007</t>
        </is>
      </c>
      <c r="B8" s="6" t="inlineStr">
        <is>
          <t>Responsive</t>
        </is>
      </c>
      <c r="C8" s="6" t="inlineStr">
        <is>
          <t>Mobile landing page</t>
        </is>
      </c>
      <c r="D8" s="6" t="inlineStr">
        <is>
          <t>1. Open / on a phone (375px) or use browser dev tools</t>
        </is>
      </c>
      <c r="E8" s="6" t="inlineStr">
        <is>
          <t>Looks good, no horizontal scroll, hamburger menu replaces nav</t>
        </is>
      </c>
      <c r="F8" s="6" t="inlineStr"/>
      <c r="G8" s="6" t="inlineStr"/>
      <c r="H8" s="6" t="inlineStr"/>
      <c r="I8" s="6" t="inlineStr"/>
    </row>
    <row r="9" ht="60" customHeight="1">
      <c r="A9" s="7" t="inlineStr">
        <is>
          <t>VIS-008</t>
        </is>
      </c>
      <c r="B9" s="7" t="inlineStr">
        <is>
          <t>Responsive</t>
        </is>
      </c>
      <c r="C9" s="7" t="inlineStr">
        <is>
          <t>Mobile dashboard</t>
        </is>
      </c>
      <c r="D9" s="7" t="inlineStr">
        <is>
          <t>1. Open /dashboard on a phone</t>
        </is>
      </c>
      <c r="E9" s="7" t="inlineStr">
        <is>
          <t>Sidebar collapses; cards stack vertically; nothing overflows</t>
        </is>
      </c>
      <c r="F9" s="7" t="inlineStr"/>
      <c r="G9" s="7" t="inlineStr"/>
      <c r="H9" s="7" t="inlineStr"/>
      <c r="I9" s="7" t="inlineStr"/>
    </row>
    <row r="10" ht="60" customHeight="1">
      <c r="A10" s="6" t="inlineStr">
        <is>
          <t>VIS-009</t>
        </is>
      </c>
      <c r="B10" s="6" t="inlineStr">
        <is>
          <t>Responsive</t>
        </is>
      </c>
      <c r="C10" s="6" t="inlineStr">
        <is>
          <t>Mobile AI tutor</t>
        </is>
      </c>
      <c r="D10" s="6" t="inlineStr">
        <is>
          <t>1. Open AI Tutor on a phone</t>
        </is>
      </c>
      <c r="E10" s="6" t="inlineStr">
        <is>
          <t>Chat is usable; input box is reachable; suggested questions wrap</t>
        </is>
      </c>
      <c r="F10" s="6" t="inlineStr"/>
      <c r="G10" s="6" t="inlineStr"/>
      <c r="H10" s="6" t="inlineStr"/>
      <c r="I10" s="6" t="inlineStr"/>
    </row>
    <row r="11" ht="60" customHeight="1">
      <c r="A11" s="7" t="inlineStr">
        <is>
          <t>VIS-010</t>
        </is>
      </c>
      <c r="B11" s="7" t="inlineStr">
        <is>
          <t>Responsive</t>
        </is>
      </c>
      <c r="C11" s="7" t="inlineStr">
        <is>
          <t>Mobile registration form</t>
        </is>
      </c>
      <c r="D11" s="7" t="inlineStr">
        <is>
          <t>1. Open /register on a phone</t>
        </is>
      </c>
      <c r="E11" s="7" t="inlineStr">
        <is>
          <t>All fields are visible and tappable; submit button visible</t>
        </is>
      </c>
      <c r="F11" s="7" t="inlineStr"/>
      <c r="G11" s="7" t="inlineStr"/>
      <c r="H11" s="7" t="inlineStr"/>
      <c r="I11" s="7" t="inlineStr"/>
    </row>
    <row r="12" ht="60" customHeight="1">
      <c r="A12" s="6" t="inlineStr">
        <is>
          <t>VIS-011</t>
        </is>
      </c>
      <c r="B12" s="6" t="inlineStr">
        <is>
          <t>Dari/RTL</t>
        </is>
      </c>
      <c r="C12" s="6" t="inlineStr">
        <is>
          <t>Landing in RTL</t>
        </is>
      </c>
      <c r="D12" s="6" t="inlineStr">
        <is>
          <t>1. Switch landing to Dari</t>
        </is>
      </c>
      <c r="E12" s="6" t="inlineStr">
        <is>
          <t>All text is right-aligned; layout mirrors correctly; icons flip where appropriate</t>
        </is>
      </c>
      <c r="F12" s="6" t="inlineStr"/>
      <c r="G12" s="6" t="inlineStr"/>
      <c r="H12" s="6" t="inlineStr"/>
      <c r="I12" s="6" t="inlineStr"/>
    </row>
    <row r="13" ht="60" customHeight="1">
      <c r="A13" s="7" t="inlineStr">
        <is>
          <t>VIS-012</t>
        </is>
      </c>
      <c r="B13" s="7" t="inlineStr">
        <is>
          <t>Dari/RTL</t>
        </is>
      </c>
      <c r="C13" s="7" t="inlineStr">
        <is>
          <t>Dashboard in RTL</t>
        </is>
      </c>
      <c r="D13" s="7" t="inlineStr">
        <is>
          <t>1. Switch dashboard to Dari</t>
        </is>
      </c>
      <c r="E13" s="7" t="inlineStr">
        <is>
          <t>Sidebar moves to right; all text right-aligned; cards mirror layout</t>
        </is>
      </c>
      <c r="F13" s="7" t="inlineStr"/>
      <c r="G13" s="7" t="inlineStr"/>
      <c r="H13" s="7" t="inlineStr"/>
      <c r="I13" s="7" t="inlineStr"/>
    </row>
    <row r="14" ht="60" customHeight="1">
      <c r="A14" s="6" t="inlineStr">
        <is>
          <t>VIS-013</t>
        </is>
      </c>
      <c r="B14" s="6" t="inlineStr">
        <is>
          <t>Dari/RTL</t>
        </is>
      </c>
      <c r="C14" s="6" t="inlineStr">
        <is>
          <t>AI tutor in RTL</t>
        </is>
      </c>
      <c r="D14" s="6" t="inlineStr">
        <is>
          <t>1. Switch AI Tutor to Dari and chat</t>
        </is>
      </c>
      <c r="E14" s="6" t="inlineStr">
        <is>
          <t>Chat bubbles aligned correctly for RTL; input box aligned right</t>
        </is>
      </c>
      <c r="F14" s="6" t="inlineStr"/>
      <c r="G14" s="6" t="inlineStr"/>
      <c r="H14" s="6" t="inlineStr"/>
      <c r="I14" s="6" t="inlineStr"/>
    </row>
    <row r="15" ht="60" customHeight="1">
      <c r="A15" s="7" t="inlineStr">
        <is>
          <t>VIS-014</t>
        </is>
      </c>
      <c r="B15" s="7" t="inlineStr">
        <is>
          <t>Dari/RTL</t>
        </is>
      </c>
      <c r="C15" s="7" t="inlineStr">
        <is>
          <t>Forms in RTL</t>
        </is>
      </c>
      <c r="D15" s="7" t="inlineStr">
        <is>
          <t>1. Open registration in Dari</t>
        </is>
      </c>
      <c r="E15" s="7" t="inlineStr">
        <is>
          <t>Labels and inputs align correctly for RTL</t>
        </is>
      </c>
      <c r="F15" s="7" t="inlineStr"/>
      <c r="G15" s="7" t="inlineStr"/>
      <c r="H15" s="7" t="inlineStr"/>
      <c r="I15" s="7" t="inlineStr"/>
    </row>
    <row r="16" ht="60" customHeight="1">
      <c r="A16" s="6" t="inlineStr">
        <is>
          <t>VIS-015</t>
        </is>
      </c>
      <c r="B16" s="6" t="inlineStr">
        <is>
          <t>Loading states</t>
        </is>
      </c>
      <c r="C16" s="6" t="inlineStr">
        <is>
          <t>Skeleton loaders</t>
        </is>
      </c>
      <c r="D16" s="6" t="inlineStr">
        <is>
          <t>1. Navigate to a data-heavy page (Dashboard, Classes)</t>
        </is>
      </c>
      <c r="E16" s="6" t="inlineStr">
        <is>
          <t>Brief skeleton/loader appears before content; no jarring blank flash</t>
        </is>
      </c>
      <c r="F16" s="6" t="inlineStr"/>
      <c r="G16" s="6" t="inlineStr"/>
      <c r="H16" s="6" t="inlineStr"/>
      <c r="I16" s="6" t="inlineStr"/>
    </row>
    <row r="17" ht="60" customHeight="1">
      <c r="A17" s="7" t="inlineStr">
        <is>
          <t>VIS-016</t>
        </is>
      </c>
      <c r="B17" s="7" t="inlineStr">
        <is>
          <t>Error states</t>
        </is>
      </c>
      <c r="C17" s="7" t="inlineStr">
        <is>
          <t>404 page</t>
        </is>
      </c>
      <c r="D17" s="7" t="inlineStr">
        <is>
          <t>1. Go to /this-does-not-exist</t>
        </is>
      </c>
      <c r="E17" s="7" t="inlineStr">
        <is>
          <t>Friendly 404 page (not server error)</t>
        </is>
      </c>
      <c r="F17" s="7" t="inlineStr"/>
      <c r="G17" s="7" t="inlineStr"/>
      <c r="H17" s="7" t="inlineStr"/>
      <c r="I17" s="7" t="inlineStr"/>
    </row>
  </sheetData>
  <autoFilter ref="A1:I17"/>
  <conditionalFormatting sqref="F2:F1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F2:F17" showDropDown="0" showInputMessage="0" showErrorMessage="0" allowBlank="1" errorTitle="Invalid result" error="Pick one of: Pass, Fail, Blocked, Skipped" promptTitle="Result" prompt="Pass / Fail / Blocked / Skipped" type="list">
      <formula1>"Pass,Fail,Blocked,Skipped"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36" customHeight="1">
      <c r="A1" s="9" t="inlineStr">
        <is>
          <t>Test Results Summary (auto-calculated)</t>
        </is>
      </c>
    </row>
    <row r="2" ht="28" customHeight="1">
      <c r="A2" s="10" t="inlineStr">
        <is>
          <t>Category</t>
        </is>
      </c>
      <c r="B2" s="10" t="inlineStr">
        <is>
          <t>Total tests</t>
        </is>
      </c>
      <c r="C2" s="10" t="inlineStr">
        <is>
          <t>Pass</t>
        </is>
      </c>
      <c r="D2" s="10" t="inlineStr">
        <is>
          <t>Fail</t>
        </is>
      </c>
      <c r="E2" s="10" t="inlineStr">
        <is>
          <t>Blocked</t>
        </is>
      </c>
      <c r="F2" s="10" t="inlineStr">
        <is>
          <t>Skipped</t>
        </is>
      </c>
      <c r="G2" s="10" t="inlineStr">
        <is>
          <t>Pass rate</t>
        </is>
      </c>
    </row>
    <row r="3" ht="24" customHeight="1">
      <c r="A3" s="11" t="inlineStr">
        <is>
          <t>Public Pages</t>
        </is>
      </c>
      <c r="B3" s="12">
        <f>COUNTA('Public Pages'!A:A)-1</f>
        <v/>
      </c>
      <c r="C3" s="12">
        <f>COUNTIF('Public Pages'!F:F,"Pass")</f>
        <v/>
      </c>
      <c r="D3" s="12">
        <f>COUNTIF('Public Pages'!F:F,"Fail")</f>
        <v/>
      </c>
      <c r="E3" s="12">
        <f>COUNTIF('Public Pages'!F:F,"Blocked")</f>
        <v/>
      </c>
      <c r="F3" s="12">
        <f>COUNTIF('Public Pages'!F:F,"Skipped")</f>
        <v/>
      </c>
      <c r="G3" s="13">
        <f>IFERROR(C3/(C3+D3),"—")</f>
        <v/>
      </c>
    </row>
    <row r="4" ht="24" customHeight="1">
      <c r="A4" s="11" t="inlineStr">
        <is>
          <t>Student Tests</t>
        </is>
      </c>
      <c r="B4" s="12">
        <f>COUNTA('Student Tests'!A:A)-2</f>
        <v/>
      </c>
      <c r="C4" s="12">
        <f>COUNTIF('Student Tests'!F:F,"Pass")</f>
        <v/>
      </c>
      <c r="D4" s="12">
        <f>COUNTIF('Student Tests'!F:F,"Fail")</f>
        <v/>
      </c>
      <c r="E4" s="12">
        <f>COUNTIF('Student Tests'!F:F,"Blocked")</f>
        <v/>
      </c>
      <c r="F4" s="12">
        <f>COUNTIF('Student Tests'!F:F,"Skipped")</f>
        <v/>
      </c>
      <c r="G4" s="13">
        <f>IFERROR(C4/(C4+D4),"—")</f>
        <v/>
      </c>
    </row>
    <row r="5" ht="24" customHeight="1">
      <c r="A5" s="11" t="inlineStr">
        <is>
          <t>Teacher Tests</t>
        </is>
      </c>
      <c r="B5" s="12">
        <f>COUNTA('Teacher Tests'!A:A)-2</f>
        <v/>
      </c>
      <c r="C5" s="12">
        <f>COUNTIF('Teacher Tests'!F:F,"Pass")</f>
        <v/>
      </c>
      <c r="D5" s="12">
        <f>COUNTIF('Teacher Tests'!F:F,"Fail")</f>
        <v/>
      </c>
      <c r="E5" s="12">
        <f>COUNTIF('Teacher Tests'!F:F,"Blocked")</f>
        <v/>
      </c>
      <c r="F5" s="12">
        <f>COUNTIF('Teacher Tests'!F:F,"Skipped")</f>
        <v/>
      </c>
      <c r="G5" s="13">
        <f>IFERROR(C5/(C5+D5),"—")</f>
        <v/>
      </c>
    </row>
    <row r="6" ht="24" customHeight="1">
      <c r="A6" s="11" t="inlineStr">
        <is>
          <t>Admin Tests</t>
        </is>
      </c>
      <c r="B6" s="12">
        <f>COUNTA('Admin Tests'!A:A)-2</f>
        <v/>
      </c>
      <c r="C6" s="12">
        <f>COUNTIF('Admin Tests'!F:F,"Pass")</f>
        <v/>
      </c>
      <c r="D6" s="12">
        <f>COUNTIF('Admin Tests'!F:F,"Fail")</f>
        <v/>
      </c>
      <c r="E6" s="12">
        <f>COUNTIF('Admin Tests'!F:F,"Blocked")</f>
        <v/>
      </c>
      <c r="F6" s="12">
        <f>COUNTIF('Admin Tests'!F:F,"Skipped")</f>
        <v/>
      </c>
      <c r="G6" s="13">
        <f>IFERROR(C6/(C6+D6),"—")</f>
        <v/>
      </c>
    </row>
    <row r="7" ht="24" customHeight="1">
      <c r="A7" s="11" t="inlineStr">
        <is>
          <t>Security Tests</t>
        </is>
      </c>
      <c r="B7" s="12">
        <f>COUNTA('Security Tests'!A:A)-1</f>
        <v/>
      </c>
      <c r="C7" s="12">
        <f>COUNTIF('Security Tests'!F:F,"Pass")</f>
        <v/>
      </c>
      <c r="D7" s="12">
        <f>COUNTIF('Security Tests'!F:F,"Fail")</f>
        <v/>
      </c>
      <c r="E7" s="12">
        <f>COUNTIF('Security Tests'!F:F,"Blocked")</f>
        <v/>
      </c>
      <c r="F7" s="12">
        <f>COUNTIF('Security Tests'!F:F,"Skipped")</f>
        <v/>
      </c>
      <c r="G7" s="13">
        <f>IFERROR(C7/(C7+D7),"—")</f>
        <v/>
      </c>
    </row>
    <row r="8" ht="24" customHeight="1">
      <c r="A8" s="11" t="inlineStr">
        <is>
          <t>Visual Tests</t>
        </is>
      </c>
      <c r="B8" s="12">
        <f>COUNTA('Visual Tests'!A:A)-1</f>
        <v/>
      </c>
      <c r="C8" s="12">
        <f>COUNTIF('Visual Tests'!F:F,"Pass")</f>
        <v/>
      </c>
      <c r="D8" s="12">
        <f>COUNTIF('Visual Tests'!F:F,"Fail")</f>
        <v/>
      </c>
      <c r="E8" s="12">
        <f>COUNTIF('Visual Tests'!F:F,"Blocked")</f>
        <v/>
      </c>
      <c r="F8" s="12">
        <f>COUNTIF('Visual Tests'!F:F,"Skipped")</f>
        <v/>
      </c>
      <c r="G8" s="13">
        <f>IFERROR(C8/(C8+D8),"—")</f>
        <v/>
      </c>
    </row>
    <row r="9" ht="28" customHeight="1">
      <c r="A9" s="14" t="inlineStr">
        <is>
          <t>TOTAL</t>
        </is>
      </c>
      <c r="B9" s="15">
        <f>SUM(B3:B8)</f>
        <v/>
      </c>
      <c r="C9" s="15">
        <f>SUM(C3:C8)</f>
        <v/>
      </c>
      <c r="D9" s="15">
        <f>SUM(D3:D8)</f>
        <v/>
      </c>
      <c r="E9" s="15">
        <f>SUM(E3:E8)</f>
        <v/>
      </c>
      <c r="F9" s="15">
        <f>SUM(F3:F8)</f>
        <v/>
      </c>
      <c r="G9" s="16">
        <f>IFERROR(C9/(C9+D9),"—")</f>
        <v/>
      </c>
    </row>
    <row r="11">
      <c r="A11" s="17" t="inlineStr">
        <is>
          <t>Pass rate = Pass ÷ (Pass + Fail). Blocked/Skipped don't count against the rate.</t>
        </is>
      </c>
    </row>
  </sheetData>
  <mergeCells count="2">
    <mergeCell ref="A11:G11"/>
    <mergeCell ref="A1:G1"/>
  </mergeCells>
  <conditionalFormatting sqref="G3:G9">
    <cfRule type="expression" priority="1" dxfId="3">
      <formula>AND(ISNUMBER(G3),G3&gt;=0.95)</formula>
    </cfRule>
    <cfRule type="expression" priority="2" dxfId="4">
      <formula>AND(ISNUMBER(G3),G3&gt;=0.80,G3&lt;0.95)</formula>
    </cfRule>
    <cfRule type="expression" priority="3" dxfId="5">
      <formula>AND(ISNUMBER(G3),G3&lt;0.80)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2026-04-16T19:00:59Z</dcterms:created>
  <dcterms:modified xsi:type="dcterms:W3CDTF">2026-04-16T19:00:59Z</dcterms:modified>
</cp:coreProperties>
</file>